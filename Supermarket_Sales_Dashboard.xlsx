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24226"/>
  <mc:AlternateContent xmlns:mc="http://schemas.openxmlformats.org/markup-compatibility/2006">
    <mc:Choice Requires="x15">
      <x15ac:absPath xmlns:x15ac="http://schemas.microsoft.com/office/spreadsheetml/2010/11/ac" url="D:\Excel\Supermarket-sales-Analysis\"/>
    </mc:Choice>
  </mc:AlternateContent>
  <xr:revisionPtr revIDLastSave="0" documentId="8_{73967304-243A-48A0-A484-74A94BCCA859}" xr6:coauthVersionLast="47" xr6:coauthVersionMax="47" xr10:uidLastSave="{00000000-0000-0000-0000-000000000000}"/>
  <bookViews>
    <workbookView xWindow="-110" yWindow="-110" windowWidth="25420" windowHeight="17020" activeTab="1" xr2:uid="{00000000-000D-0000-FFFF-FFFF00000000}"/>
  </bookViews>
  <sheets>
    <sheet name="Source" sheetId="1" r:id="rId1"/>
    <sheet name="Sales_Data" sheetId="2" r:id="rId2"/>
    <sheet name="Analysis" sheetId="3" r:id="rId3"/>
    <sheet name="Dashboard" sheetId="13" r:id="rId4"/>
    <sheet name="PVT_Chart" sheetId="15" r:id="rId5"/>
  </sheets>
  <definedNames>
    <definedName name="Slicer_Category">#N/A</definedName>
    <definedName name="Slicer_Customer">#N/A</definedName>
    <definedName name="Slicer_Month">#N/A</definedName>
    <definedName name="Slicer_Region">#N/A</definedName>
  </definedNames>
  <calcPr calcId="191029"/>
  <pivotCaches>
    <pivotCache cacheId="2"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6" i="13" l="1"/>
  <c r="C2" i="2"/>
  <c r="C3" i="2"/>
  <c r="C10" i="2"/>
  <c r="C11" i="2"/>
  <c r="C12" i="2"/>
  <c r="C13" i="2"/>
  <c r="C18" i="2"/>
  <c r="C19" i="2"/>
  <c r="C26" i="2"/>
  <c r="C27" i="2"/>
  <c r="C28" i="2"/>
  <c r="C29" i="2"/>
  <c r="C34" i="2"/>
  <c r="C35" i="2"/>
  <c r="C42" i="2"/>
  <c r="C43" i="2"/>
  <c r="C44" i="2"/>
  <c r="C45" i="2"/>
  <c r="C50" i="2"/>
  <c r="C51" i="2"/>
  <c r="C58" i="2"/>
  <c r="C59" i="2"/>
  <c r="C60" i="2"/>
  <c r="C61" i="2"/>
  <c r="C66" i="2"/>
  <c r="C67" i="2"/>
  <c r="C74" i="2"/>
  <c r="C75" i="2"/>
  <c r="C76" i="2"/>
  <c r="C77" i="2"/>
  <c r="C82" i="2"/>
  <c r="C83" i="2"/>
  <c r="C90" i="2"/>
  <c r="C91" i="2"/>
  <c r="C92" i="2"/>
  <c r="C93" i="2"/>
  <c r="C98" i="2"/>
  <c r="C99" i="2"/>
  <c r="C106" i="2"/>
  <c r="C107" i="2"/>
  <c r="C108" i="2"/>
  <c r="C109" i="2"/>
  <c r="C114" i="2"/>
  <c r="C115" i="2"/>
  <c r="C122" i="2"/>
  <c r="C123" i="2"/>
  <c r="C124" i="2"/>
  <c r="C125" i="2"/>
  <c r="C130" i="2"/>
  <c r="C131" i="2"/>
  <c r="C138" i="2"/>
  <c r="C139" i="2"/>
  <c r="C140" i="2"/>
  <c r="C141" i="2"/>
  <c r="C146" i="2"/>
  <c r="C147" i="2"/>
  <c r="C154" i="2"/>
  <c r="C155" i="2"/>
  <c r="C156" i="2"/>
  <c r="C157" i="2"/>
  <c r="C162" i="2"/>
  <c r="C163" i="2"/>
  <c r="C170" i="2"/>
  <c r="C171" i="2"/>
  <c r="C172" i="2"/>
  <c r="C173" i="2"/>
  <c r="C178" i="2"/>
  <c r="C179" i="2"/>
  <c r="B2" i="2"/>
  <c r="B3" i="2"/>
  <c r="B4" i="2"/>
  <c r="C4" i="2" s="1"/>
  <c r="B5" i="2"/>
  <c r="C5" i="2" s="1"/>
  <c r="B6" i="2"/>
  <c r="C6" i="2" s="1"/>
  <c r="B7" i="2"/>
  <c r="C7" i="2" s="1"/>
  <c r="B8" i="2"/>
  <c r="C8" i="2" s="1"/>
  <c r="B9" i="2"/>
  <c r="C9" i="2" s="1"/>
  <c r="B10" i="2"/>
  <c r="B11" i="2"/>
  <c r="B12" i="2"/>
  <c r="B13" i="2"/>
  <c r="B14" i="2"/>
  <c r="C14" i="2" s="1"/>
  <c r="B15" i="2"/>
  <c r="C15" i="2" s="1"/>
  <c r="B16" i="2"/>
  <c r="C16" i="2" s="1"/>
  <c r="B17" i="2"/>
  <c r="C17" i="2" s="1"/>
  <c r="B18" i="2"/>
  <c r="B19" i="2"/>
  <c r="B20" i="2"/>
  <c r="C20" i="2" s="1"/>
  <c r="B21" i="2"/>
  <c r="C21" i="2" s="1"/>
  <c r="B22" i="2"/>
  <c r="C22" i="2" s="1"/>
  <c r="B23" i="2"/>
  <c r="C23" i="2" s="1"/>
  <c r="B24" i="2"/>
  <c r="C24" i="2" s="1"/>
  <c r="B25" i="2"/>
  <c r="C25" i="2" s="1"/>
  <c r="B26" i="2"/>
  <c r="B27" i="2"/>
  <c r="B28" i="2"/>
  <c r="B29" i="2"/>
  <c r="B30" i="2"/>
  <c r="C30" i="2" s="1"/>
  <c r="B31" i="2"/>
  <c r="C31" i="2" s="1"/>
  <c r="B32" i="2"/>
  <c r="C32" i="2" s="1"/>
  <c r="B33" i="2"/>
  <c r="C33" i="2" s="1"/>
  <c r="B34" i="2"/>
  <c r="B35" i="2"/>
  <c r="B36" i="2"/>
  <c r="C36" i="2" s="1"/>
  <c r="B37" i="2"/>
  <c r="C37" i="2" s="1"/>
  <c r="B38" i="2"/>
  <c r="C38" i="2" s="1"/>
  <c r="B39" i="2"/>
  <c r="C39" i="2" s="1"/>
  <c r="B40" i="2"/>
  <c r="C40" i="2" s="1"/>
  <c r="B41" i="2"/>
  <c r="C41" i="2" s="1"/>
  <c r="B42" i="2"/>
  <c r="B43" i="2"/>
  <c r="B44" i="2"/>
  <c r="B45" i="2"/>
  <c r="B46" i="2"/>
  <c r="C46" i="2" s="1"/>
  <c r="B47" i="2"/>
  <c r="C47" i="2" s="1"/>
  <c r="B48" i="2"/>
  <c r="C48" i="2" s="1"/>
  <c r="B49" i="2"/>
  <c r="C49" i="2" s="1"/>
  <c r="B50" i="2"/>
  <c r="B51" i="2"/>
  <c r="B52" i="2"/>
  <c r="C52" i="2" s="1"/>
  <c r="B53" i="2"/>
  <c r="C53" i="2" s="1"/>
  <c r="B54" i="2"/>
  <c r="C54" i="2" s="1"/>
  <c r="B55" i="2"/>
  <c r="C55" i="2" s="1"/>
  <c r="B56" i="2"/>
  <c r="C56" i="2" s="1"/>
  <c r="B57" i="2"/>
  <c r="C57" i="2" s="1"/>
  <c r="B58" i="2"/>
  <c r="B59" i="2"/>
  <c r="B60" i="2"/>
  <c r="B61" i="2"/>
  <c r="B62" i="2"/>
  <c r="C62" i="2" s="1"/>
  <c r="B63" i="2"/>
  <c r="C63" i="2" s="1"/>
  <c r="B64" i="2"/>
  <c r="C64" i="2" s="1"/>
  <c r="B65" i="2"/>
  <c r="C65" i="2" s="1"/>
  <c r="B66" i="2"/>
  <c r="B67" i="2"/>
  <c r="B68" i="2"/>
  <c r="C68" i="2" s="1"/>
  <c r="B69" i="2"/>
  <c r="C69" i="2" s="1"/>
  <c r="B70" i="2"/>
  <c r="C70" i="2" s="1"/>
  <c r="B71" i="2"/>
  <c r="C71" i="2" s="1"/>
  <c r="B72" i="2"/>
  <c r="C72" i="2" s="1"/>
  <c r="B73" i="2"/>
  <c r="C73" i="2" s="1"/>
  <c r="B74" i="2"/>
  <c r="B75" i="2"/>
  <c r="B76" i="2"/>
  <c r="B77" i="2"/>
  <c r="B78" i="2"/>
  <c r="C78" i="2" s="1"/>
  <c r="B79" i="2"/>
  <c r="C79" i="2" s="1"/>
  <c r="B80" i="2"/>
  <c r="C80" i="2" s="1"/>
  <c r="B81" i="2"/>
  <c r="C81" i="2" s="1"/>
  <c r="B82" i="2"/>
  <c r="B83" i="2"/>
  <c r="B84" i="2"/>
  <c r="C84" i="2" s="1"/>
  <c r="B85" i="2"/>
  <c r="C85" i="2" s="1"/>
  <c r="B86" i="2"/>
  <c r="C86" i="2" s="1"/>
  <c r="B87" i="2"/>
  <c r="C87" i="2" s="1"/>
  <c r="B88" i="2"/>
  <c r="C88" i="2" s="1"/>
  <c r="B89" i="2"/>
  <c r="C89" i="2" s="1"/>
  <c r="B90" i="2"/>
  <c r="B91" i="2"/>
  <c r="B92" i="2"/>
  <c r="B93" i="2"/>
  <c r="B94" i="2"/>
  <c r="C94" i="2" s="1"/>
  <c r="B95" i="2"/>
  <c r="C95" i="2" s="1"/>
  <c r="B96" i="2"/>
  <c r="C96" i="2" s="1"/>
  <c r="B97" i="2"/>
  <c r="C97" i="2" s="1"/>
  <c r="B98" i="2"/>
  <c r="B99" i="2"/>
  <c r="B100" i="2"/>
  <c r="C100" i="2" s="1"/>
  <c r="B101" i="2"/>
  <c r="C101" i="2" s="1"/>
  <c r="B102" i="2"/>
  <c r="C102" i="2" s="1"/>
  <c r="B103" i="2"/>
  <c r="C103" i="2" s="1"/>
  <c r="B104" i="2"/>
  <c r="C104" i="2" s="1"/>
  <c r="B105" i="2"/>
  <c r="C105" i="2" s="1"/>
  <c r="B106" i="2"/>
  <c r="B107" i="2"/>
  <c r="B108" i="2"/>
  <c r="B109" i="2"/>
  <c r="B110" i="2"/>
  <c r="C110" i="2" s="1"/>
  <c r="B111" i="2"/>
  <c r="C111" i="2" s="1"/>
  <c r="B112" i="2"/>
  <c r="C112" i="2" s="1"/>
  <c r="B113" i="2"/>
  <c r="C113" i="2" s="1"/>
  <c r="B114" i="2"/>
  <c r="B115" i="2"/>
  <c r="B116" i="2"/>
  <c r="C116" i="2" s="1"/>
  <c r="B117" i="2"/>
  <c r="C117" i="2" s="1"/>
  <c r="B118" i="2"/>
  <c r="C118" i="2" s="1"/>
  <c r="B119" i="2"/>
  <c r="C119" i="2" s="1"/>
  <c r="B120" i="2"/>
  <c r="C120" i="2" s="1"/>
  <c r="B121" i="2"/>
  <c r="C121" i="2" s="1"/>
  <c r="B122" i="2"/>
  <c r="B123" i="2"/>
  <c r="B124" i="2"/>
  <c r="B125" i="2"/>
  <c r="B126" i="2"/>
  <c r="C126" i="2" s="1"/>
  <c r="B127" i="2"/>
  <c r="C127" i="2" s="1"/>
  <c r="B128" i="2"/>
  <c r="C128" i="2" s="1"/>
  <c r="B129" i="2"/>
  <c r="C129" i="2" s="1"/>
  <c r="B130" i="2"/>
  <c r="B131" i="2"/>
  <c r="B132" i="2"/>
  <c r="C132" i="2" s="1"/>
  <c r="B133" i="2"/>
  <c r="C133" i="2" s="1"/>
  <c r="B134" i="2"/>
  <c r="C134" i="2" s="1"/>
  <c r="B135" i="2"/>
  <c r="C135" i="2" s="1"/>
  <c r="B136" i="2"/>
  <c r="C136" i="2" s="1"/>
  <c r="B137" i="2"/>
  <c r="C137" i="2" s="1"/>
  <c r="B138" i="2"/>
  <c r="B139" i="2"/>
  <c r="B140" i="2"/>
  <c r="B141" i="2"/>
  <c r="B142" i="2"/>
  <c r="C142" i="2" s="1"/>
  <c r="B143" i="2"/>
  <c r="C143" i="2" s="1"/>
  <c r="B144" i="2"/>
  <c r="C144" i="2" s="1"/>
  <c r="B145" i="2"/>
  <c r="C145" i="2" s="1"/>
  <c r="B146" i="2"/>
  <c r="B147" i="2"/>
  <c r="B148" i="2"/>
  <c r="C148" i="2" s="1"/>
  <c r="B149" i="2"/>
  <c r="C149" i="2" s="1"/>
  <c r="B150" i="2"/>
  <c r="C150" i="2" s="1"/>
  <c r="B151" i="2"/>
  <c r="C151" i="2" s="1"/>
  <c r="B152" i="2"/>
  <c r="C152" i="2" s="1"/>
  <c r="B153" i="2"/>
  <c r="C153" i="2" s="1"/>
  <c r="B154" i="2"/>
  <c r="B155" i="2"/>
  <c r="B156" i="2"/>
  <c r="B157" i="2"/>
  <c r="B158" i="2"/>
  <c r="C158" i="2" s="1"/>
  <c r="B159" i="2"/>
  <c r="C159" i="2" s="1"/>
  <c r="B160" i="2"/>
  <c r="C160" i="2" s="1"/>
  <c r="B161" i="2"/>
  <c r="C161" i="2" s="1"/>
  <c r="B162" i="2"/>
  <c r="B163" i="2"/>
  <c r="B164" i="2"/>
  <c r="C164" i="2" s="1"/>
  <c r="B165" i="2"/>
  <c r="C165" i="2" s="1"/>
  <c r="B166" i="2"/>
  <c r="C166" i="2" s="1"/>
  <c r="B167" i="2"/>
  <c r="C167" i="2" s="1"/>
  <c r="B168" i="2"/>
  <c r="C168" i="2" s="1"/>
  <c r="B169" i="2"/>
  <c r="C169" i="2" s="1"/>
  <c r="B170" i="2"/>
  <c r="B171" i="2"/>
  <c r="B172" i="2"/>
  <c r="B173" i="2"/>
  <c r="B174" i="2"/>
  <c r="C174" i="2" s="1"/>
  <c r="B175" i="2"/>
  <c r="C175" i="2" s="1"/>
  <c r="B176" i="2"/>
  <c r="C176" i="2" s="1"/>
  <c r="B177" i="2"/>
  <c r="C177" i="2" s="1"/>
  <c r="B178" i="2"/>
  <c r="B179" i="2"/>
  <c r="B180" i="2"/>
  <c r="C180" i="2" s="1"/>
  <c r="B181" i="2"/>
  <c r="C181" i="2" s="1"/>
  <c r="U11" i="2"/>
  <c r="U9" i="2"/>
  <c r="U7" i="2"/>
  <c r="U5" i="2"/>
  <c r="U3" i="2"/>
  <c r="J6" i="13"/>
  <c r="H6" i="13"/>
  <c r="F6" i="13"/>
  <c r="D6" i="13"/>
</calcChain>
</file>

<file path=xl/sharedStrings.xml><?xml version="1.0" encoding="utf-8"?>
<sst xmlns="http://schemas.openxmlformats.org/spreadsheetml/2006/main" count="2781" uniqueCount="331">
  <si>
    <t>Order_ID</t>
  </si>
  <si>
    <t>Date</t>
  </si>
  <si>
    <t>Region</t>
  </si>
  <si>
    <t>Customer</t>
  </si>
  <si>
    <t>Product_ID</t>
  </si>
  <si>
    <t>Product</t>
  </si>
  <si>
    <t>Category</t>
  </si>
  <si>
    <t>Unit_Price</t>
  </si>
  <si>
    <t>Quantity</t>
  </si>
  <si>
    <t>Discount</t>
  </si>
  <si>
    <t>Sales</t>
  </si>
  <si>
    <t>Cost</t>
  </si>
  <si>
    <t>Profit</t>
  </si>
  <si>
    <t>Channel</t>
  </si>
  <si>
    <t>ORD0001</t>
  </si>
  <si>
    <t>ORD0002</t>
  </si>
  <si>
    <t>ORD0003</t>
  </si>
  <si>
    <t>ORD0004</t>
  </si>
  <si>
    <t>ORD0005</t>
  </si>
  <si>
    <t>ORD0006</t>
  </si>
  <si>
    <t>ORD0007</t>
  </si>
  <si>
    <t>ORD0008</t>
  </si>
  <si>
    <t>ORD0009</t>
  </si>
  <si>
    <t>ORD0010</t>
  </si>
  <si>
    <t>ORD0011</t>
  </si>
  <si>
    <t>ORD0012</t>
  </si>
  <si>
    <t>ORD0013</t>
  </si>
  <si>
    <t>ORD0014</t>
  </si>
  <si>
    <t>ORD0015</t>
  </si>
  <si>
    <t>ORD0016</t>
  </si>
  <si>
    <t>ORD0017</t>
  </si>
  <si>
    <t>ORD0018</t>
  </si>
  <si>
    <t>ORD0019</t>
  </si>
  <si>
    <t>ORD0020</t>
  </si>
  <si>
    <t>ORD0021</t>
  </si>
  <si>
    <t>ORD0022</t>
  </si>
  <si>
    <t>ORD0023</t>
  </si>
  <si>
    <t>ORD0024</t>
  </si>
  <si>
    <t>ORD0025</t>
  </si>
  <si>
    <t>ORD0026</t>
  </si>
  <si>
    <t>ORD0027</t>
  </si>
  <si>
    <t>ORD0028</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</si>
  <si>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</si>
  <si>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</si>
  <si>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</si>
  <si>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</si>
  <si>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</si>
  <si>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</si>
  <si>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</si>
  <si>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</si>
  <si>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</si>
  <si>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</si>
  <si>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</si>
  <si>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</si>
  <si>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</si>
  <si>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</si>
  <si>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</si>
  <si>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</si>
  <si>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</si>
  <si>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</si>
  <si>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</si>
  <si>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</si>
  <si>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</si>
  <si>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</si>
  <si>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</si>
  <si>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</si>
  <si>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</si>
  <si>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</si>
  <si>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</si>
  <si>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</si>
  <si>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</si>
  <si>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</si>
  <si>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</si>
  <si>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</si>
  <si>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</si>
  <si>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</si>
  <si>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</si>
  <si>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</si>
  <si>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</si>
  <si>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</si>
  <si>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</si>
  <si>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</si>
  <si>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</si>
  <si>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</si>
  <si>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</si>
  <si>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</si>
  <si>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</si>
  <si>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</si>
  <si>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</si>
  <si>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</si>
  <si>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</si>
  <si>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</si>
  <si>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</si>
  <si>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</si>
  <si>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</si>
  <si>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</si>
  <si>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</si>
  <si>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</si>
  <si>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</si>
  <si>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</si>
  <si>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</si>
  <si>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</si>
  <si>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</si>
  <si>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</si>
  <si>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</si>
  <si>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</si>
  <si>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</si>
  <si>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</si>
  <si>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</si>
  <si>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</si>
  <si>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</si>
  <si>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</si>
  <si>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</si>
  <si>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</si>
  <si>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</si>
  <si>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</si>
  <si>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</si>
  <si>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</si>
  <si>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</si>
  <si>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</si>
  <si>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</si>
  <si>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</si>
  <si>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</si>
  <si>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</si>
  <si>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</si>
  <si>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</si>
  <si>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</si>
  <si>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</si>
  <si>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</si>
  <si>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</si>
  <si>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</si>
  <si>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</si>
  <si>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</si>
  <si>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</si>
  <si>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</si>
  <si>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</si>
  <si>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</si>
  <si>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</si>
  <si>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</si>
  <si>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</si>
  <si>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</si>
  <si>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</si>
  <si>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</si>
  <si>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</si>
  <si>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</si>
  <si>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</si>
  <si>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</si>
  <si>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</si>
  <si>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</si>
  <si>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</si>
  <si>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</si>
  <si>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</si>
  <si>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</si>
  <si>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</si>
  <si>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</si>
  <si>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</si>
  <si>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</si>
  <si>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</si>
  <si>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</si>
  <si>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</si>
  <si>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</si>
  <si>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</si>
  <si>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</si>
  <si>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</si>
  <si>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</si>
  <si>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</si>
  <si>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</si>
  <si>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</si>
  <si>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</si>
  <si>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</si>
  <si>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</si>
  <si>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</si>
  <si>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</si>
  <si>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</si>
  <si>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</si>
  <si>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</si>
  <si>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</si>
  <si>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</si>
  <si>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</si>
  <si>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</si>
  <si>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</si>
  <si>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</si>
  <si>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</si>
  <si>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</si>
  <si>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</si>
  <si>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</si>
  <si>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</si>
  <si>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</si>
  <si>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</si>
  <si>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</si>
  <si>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</si>
  <si>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</si>
  <si>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</si>
  <si>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</si>
  <si>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North</t>
  </si>
  <si>
    <t>South</t>
  </si>
  <si>
    <t>East</t>
  </si>
  <si>
    <t>West</t>
  </si>
  <si>
    <t>Customer 27</t>
  </si>
  <si>
    <t>Customer 02</t>
  </si>
  <si>
    <t>Customer 18</t>
  </si>
  <si>
    <t>Customer 19</t>
  </si>
  <si>
    <t>Customer 10</t>
  </si>
  <si>
    <t>Customer 04</t>
  </si>
  <si>
    <t>Customer 22</t>
  </si>
  <si>
    <t>Customer 17</t>
  </si>
  <si>
    <t>Customer 20</t>
  </si>
  <si>
    <t>Customer 16</t>
  </si>
  <si>
    <t>Customer 24</t>
  </si>
  <si>
    <t>Customer 15</t>
  </si>
  <si>
    <t>Customer 23</t>
  </si>
  <si>
    <t>Customer 03</t>
  </si>
  <si>
    <t>Customer 21</t>
  </si>
  <si>
    <t>Customer 06</t>
  </si>
  <si>
    <t>Customer 07</t>
  </si>
  <si>
    <t>Customer 25</t>
  </si>
  <si>
    <t>Customer 09</t>
  </si>
  <si>
    <t>Customer 26</t>
  </si>
  <si>
    <t>Customer 29</t>
  </si>
  <si>
    <t>Customer 05</t>
  </si>
  <si>
    <t>Customer 14</t>
  </si>
  <si>
    <t>Customer 28</t>
  </si>
  <si>
    <t>Customer 13</t>
  </si>
  <si>
    <t>Customer 30</t>
  </si>
  <si>
    <t>Customer 12</t>
  </si>
  <si>
    <t>Customer 08</t>
  </si>
  <si>
    <t>Customer 11</t>
  </si>
  <si>
    <t>Customer 01</t>
  </si>
  <si>
    <t>P006</t>
  </si>
  <si>
    <t>P007</t>
  </si>
  <si>
    <t>P001</t>
  </si>
  <si>
    <t>P003</t>
  </si>
  <si>
    <t>P002</t>
  </si>
  <si>
    <t>P010</t>
  </si>
  <si>
    <t>P009</t>
  </si>
  <si>
    <t>P008</t>
  </si>
  <si>
    <t>P005</t>
  </si>
  <si>
    <t>P004</t>
  </si>
  <si>
    <t>Pasta</t>
  </si>
  <si>
    <t>Apples</t>
  </si>
  <si>
    <t>Milk</t>
  </si>
  <si>
    <t>Eggs</t>
  </si>
  <si>
    <t>Bread</t>
  </si>
  <si>
    <t>Tea</t>
  </si>
  <si>
    <t>Coffee</t>
  </si>
  <si>
    <t>Bananas</t>
  </si>
  <si>
    <t>Rice</t>
  </si>
  <si>
    <t>Chicken</t>
  </si>
  <si>
    <t>Grocery</t>
  </si>
  <si>
    <t>Produce</t>
  </si>
  <si>
    <t>Dairy</t>
  </si>
  <si>
    <t>Bakery</t>
  </si>
  <si>
    <t>Beverages</t>
  </si>
  <si>
    <t>Meat</t>
  </si>
  <si>
    <t>Store</t>
  </si>
  <si>
    <t>Online</t>
  </si>
  <si>
    <r>
      <t>Q1.</t>
    </r>
    <r>
      <rPr>
        <sz val="11"/>
        <color theme="1"/>
        <rFont val="Calibri"/>
        <family val="2"/>
        <scheme val="minor"/>
      </rPr>
      <t xml:space="preserve"> What is total sales?</t>
    </r>
  </si>
  <si>
    <r>
      <t>Q2.</t>
    </r>
    <r>
      <rPr>
        <sz val="11"/>
        <color theme="1"/>
        <rFont val="Calibri"/>
        <family val="2"/>
        <scheme val="minor"/>
      </rPr>
      <t xml:space="preserve"> What is total profit?</t>
    </r>
  </si>
  <si>
    <r>
      <t>Q3.</t>
    </r>
    <r>
      <rPr>
        <sz val="11"/>
        <color theme="1"/>
        <rFont val="Calibri"/>
        <family val="2"/>
        <scheme val="minor"/>
      </rPr>
      <t xml:space="preserve"> How many orders are there?</t>
    </r>
  </si>
  <si>
    <r>
      <t>Q4.</t>
    </r>
    <r>
      <rPr>
        <sz val="11"/>
        <color theme="1"/>
        <rFont val="Calibri"/>
        <family val="2"/>
        <scheme val="minor"/>
      </rPr>
      <t xml:space="preserve"> How many units were sold?</t>
    </r>
  </si>
  <si>
    <r>
      <t>Q5.</t>
    </r>
    <r>
      <rPr>
        <sz val="11"/>
        <color theme="1"/>
        <rFont val="Calibri"/>
        <family val="2"/>
        <scheme val="minor"/>
      </rPr>
      <t xml:space="preserve"> What is the average order value?</t>
    </r>
  </si>
  <si>
    <t>Sales Analysis</t>
  </si>
  <si>
    <t>Grand Total</t>
  </si>
  <si>
    <t>Sum of Sales</t>
  </si>
  <si>
    <t>Highest Sales Product</t>
  </si>
  <si>
    <t>Lowest Sales Product</t>
  </si>
  <si>
    <t>Sum of Profit</t>
  </si>
  <si>
    <t>Highest Profit Product</t>
  </si>
  <si>
    <t>Lowest Profit Product</t>
  </si>
  <si>
    <t>Sum of Quantity</t>
  </si>
  <si>
    <t>Most Units Sold</t>
  </si>
  <si>
    <t>Fewest Units Sold</t>
  </si>
  <si>
    <t>chicken Sales = £588.88</t>
  </si>
  <si>
    <t xml:space="preserve"> </t>
  </si>
  <si>
    <t xml:space="preserve">Coffee Sales = £490.59 </t>
  </si>
  <si>
    <t>chicken Profit = £92.89</t>
  </si>
  <si>
    <t>Coffee Profit = £121.25</t>
  </si>
  <si>
    <t>Chicken sells more revenue but Coffee makes more profit</t>
  </si>
  <si>
    <t>Total Sales</t>
  </si>
  <si>
    <t>Total Profit</t>
  </si>
  <si>
    <t>Month</t>
  </si>
  <si>
    <t>January</t>
  </si>
  <si>
    <t>February</t>
  </si>
  <si>
    <t>March</t>
  </si>
  <si>
    <t>April</t>
  </si>
  <si>
    <t>May</t>
  </si>
  <si>
    <t>June</t>
  </si>
  <si>
    <t>July</t>
  </si>
  <si>
    <t>August</t>
  </si>
  <si>
    <t>September</t>
  </si>
  <si>
    <t>October</t>
  </si>
  <si>
    <t>November</t>
  </si>
  <si>
    <t>December</t>
  </si>
  <si>
    <t>Do sales generally increase or decrease during the year?</t>
  </si>
  <si>
    <t>monthdate</t>
  </si>
  <si>
    <t>Sales are decreasing during the year</t>
  </si>
  <si>
    <t>Product Analysis</t>
  </si>
  <si>
    <t>Category Analysis</t>
  </si>
  <si>
    <t>Highest Sales Category</t>
  </si>
  <si>
    <t>Highest Profit Category</t>
  </si>
  <si>
    <t>Most Units Sold Category</t>
  </si>
  <si>
    <t>High sales but not the most profitable</t>
  </si>
  <si>
    <t>Regional Analysis</t>
  </si>
  <si>
    <t>Highest Sale Region</t>
  </si>
  <si>
    <t>Highest Profit Region</t>
  </si>
  <si>
    <t>Lowest Sale Region</t>
  </si>
  <si>
    <t>Percentage of Total Sales From Each Region</t>
  </si>
  <si>
    <t>Customer Analysis</t>
  </si>
  <si>
    <t>Customers</t>
  </si>
  <si>
    <t>Highest Value Customer</t>
  </si>
  <si>
    <t>Lowest Value Customer</t>
  </si>
  <si>
    <t>Top 10 Customers by Sales</t>
  </si>
  <si>
    <t>Monthly Trends</t>
  </si>
  <si>
    <t>Highest Sale Month</t>
  </si>
  <si>
    <t>Lowest Sale Month</t>
  </si>
  <si>
    <t>Highest Profit Month</t>
  </si>
  <si>
    <t>Online Vs Sales</t>
  </si>
  <si>
    <t>More Profit Channel</t>
  </si>
  <si>
    <t>More Sales Channel</t>
  </si>
  <si>
    <t>Sells more Units</t>
  </si>
  <si>
    <r>
      <rPr>
        <sz val="14"/>
        <color theme="1"/>
        <rFont val="Calibri"/>
        <family val="2"/>
        <scheme val="minor"/>
      </rPr>
      <t xml:space="preserve"> </t>
    </r>
    <r>
      <rPr>
        <b/>
        <sz val="14"/>
        <color theme="1"/>
        <rFont val="Calibri"/>
        <family val="2"/>
        <scheme val="minor"/>
      </rPr>
      <t>Show Values As → % of Grand Total</t>
    </r>
    <r>
      <rPr>
        <sz val="14"/>
        <color theme="1"/>
        <rFont val="Calibri"/>
        <family val="2"/>
        <scheme val="minor"/>
      </rPr>
      <t xml:space="preserve"> in the PivotTable.</t>
    </r>
  </si>
  <si>
    <t>Total Quantity</t>
  </si>
  <si>
    <t>Total Orders</t>
  </si>
  <si>
    <t>Profit Margin</t>
  </si>
  <si>
    <t>SUPERMARKET SALES DASHBOARD</t>
  </si>
  <si>
    <t>KEY INSIGHTS</t>
  </si>
  <si>
    <t>Top Product By Sales</t>
  </si>
  <si>
    <t>Top Product By Profit</t>
  </si>
  <si>
    <t>Top Category By Sales</t>
  </si>
  <si>
    <t>Top Category By Units</t>
  </si>
  <si>
    <t>Count of Order_ID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</si>
</sst>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0.0%"/>
  </numFmts>
  <fonts count="13" x14ac:knownFonts="1">
    <font>
      <sz val="11"/>
      <color theme="1"/>
      <name val="Calibri"/>
      <family val="2"/>
      <scheme val="minor"/>
    </font>
    <font>
      <b/>
      <sz val="11"/>
      <color theme="1"/>
      <name val="Calibri"/>
      <family val="2"/>
      <scheme val="minor"/>
    </font>
    <font>
      <b/>
      <sz val="14"/>
      <color theme="1"/>
      <name val="Calibri"/>
      <family val="2"/>
      <scheme val="minor"/>
    </font>
    <font>
      <sz val="14"/>
      <color theme="1"/>
      <name val="Calibri"/>
      <family val="2"/>
      <scheme val="minor"/>
    </font>
    <font>
      <b/>
      <sz val="13.5"/>
      <color theme="1"/>
      <name val="Calibri"/>
      <family val="2"/>
      <scheme val="minor"/>
    </font>
    <font>
      <b/>
      <sz val="24"/>
      <color theme="1"/>
      <name val="Calibri"/>
      <family val="2"/>
      <scheme val="minor"/>
    </font>
    <font>
      <sz val="11"/>
      <color theme="1"/>
      <name val="Calibri"/>
      <family val="2"/>
      <scheme val="minor"/>
    </font>
    <font>
      <b/>
      <sz val="16"/>
      <color theme="1"/>
      <name val="Calibri"/>
      <family val="2"/>
      <scheme val="minor"/>
    </font>
    <font>
      <b/>
      <sz val="22"/>
      <color theme="0"/>
      <name val="Calibri"/>
      <family val="2"/>
      <scheme val="minor"/>
    </font>
    <font>
      <b/>
      <sz val="16"/>
      <color theme="0"/>
      <name val="Calibri"/>
      <family val="2"/>
      <scheme val="minor"/>
    </font>
    <font>
      <b/>
      <sz val="11"/>
      <color theme="0"/>
      <name val="Calibri"/>
      <family val="2"/>
      <scheme val="minor"/>
    </font>
    <font>
      <b/>
      <sz val="12"/>
      <color theme="0"/>
      <name val="Calibri"/>
      <family val="2"/>
      <scheme val="minor"/>
    </font>
    <font>
      <b/>
      <sz val="14"/>
      <color theme="0"/>
      <name val="Calibri"/>
      <family val="2"/>
      <scheme val="minor"/>
    </font>
  </fonts>
  <fills count="5">
    <fill>
      <patternFill patternType="none"/>
    </fill>
    <fill>
      <patternFill patternType="gray125"/>
    </fill>
    <fill>
      <patternFill patternType="solid">
        <fgColor rgb="FF002060"/>
        <bgColor indexed="64"/>
      </patternFill>
    </fill>
    <fill>
      <patternFill patternType="solid">
        <fgColor theme="0" tint="-0.14999847407452621"/>
        <bgColor indexed="64"/>
      </patternFill>
    </fill>
    <fill>
      <patternFill patternType="solid">
        <fgColor theme="0"/>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9" fontId="6" fillId="0" borderId="0" applyFont="0" applyFill="0" applyBorder="0" applyAlignment="0" applyProtection="0"/>
  </cellStyleXfs>
  <cellXfs count="45">
    <xf numFmtId="0" fontId="0" fillId="0" borderId="0" xfId="0"/>
    <xf numFmtId="0" fontId="1" fillId="0" borderId="1" xfId="0" applyFont="1" applyBorder="1" applyAlignment="1">
      <alignment horizontal="center" vertical="top"/>
    </xf>
    <xf numFmtId="14" fontId="1" fillId="0" borderId="1" xfId="0" applyNumberFormat="1" applyFont="1" applyBorder="1" applyAlignment="1">
      <alignment horizontal="center" vertical="top"/>
    </xf>
    <xf numFmtId="14" fontId="0" fillId="0" borderId="0" xfId="0" applyNumberFormat="1"/>
    <xf numFmtId="0" fontId="2" fillId="0" borderId="2" xfId="0" applyFont="1" applyBorder="1" applyAlignment="1">
      <alignment horizontal="center" vertical="top"/>
    </xf>
    <xf numFmtId="14" fontId="2" fillId="0" borderId="2" xfId="0" applyNumberFormat="1" applyFont="1" applyBorder="1" applyAlignment="1">
      <alignment horizontal="center" vertical="top"/>
    </xf>
    <xf numFmtId="0" fontId="3" fillId="0" borderId="0" xfId="0" applyFont="1"/>
    <xf numFmtId="14" fontId="3" fillId="0" borderId="0" xfId="0" applyNumberFormat="1" applyFont="1"/>
    <xf numFmtId="0" fontId="4" fillId="0" borderId="0" xfId="0" applyFont="1" applyAlignment="1">
      <alignment vertical="center"/>
    </xf>
    <xf numFmtId="0" fontId="1" fillId="0" borderId="0" xfId="0" applyFont="1"/>
    <xf numFmtId="0" fontId="5" fillId="0" borderId="0" xfId="0" applyFont="1" applyAlignment="1">
      <alignment vertical="center"/>
    </xf>
    <xf numFmtId="0" fontId="0" fillId="0" borderId="0" xfId="0" pivotButton="1"/>
    <xf numFmtId="0" fontId="0" fillId="0" borderId="0" xfId="0" applyAlignment="1">
      <alignment horizontal="left"/>
    </xf>
    <xf numFmtId="0" fontId="3" fillId="0" borderId="0" xfId="0" pivotButton="1" applyFont="1"/>
    <xf numFmtId="0" fontId="3" fillId="0" borderId="0" xfId="0" applyFont="1" applyAlignment="1">
      <alignment horizontal="left"/>
    </xf>
    <xf numFmtId="0" fontId="2" fillId="0" borderId="0" xfId="0" applyFont="1"/>
    <xf numFmtId="0" fontId="0" fillId="0" borderId="0" xfId="0" applyAlignment="1">
      <alignment horizontal="left" vertical="center" indent="1"/>
    </xf>
    <xf numFmtId="10" fontId="0" fillId="0" borderId="0" xfId="0" applyNumberFormat="1"/>
    <xf numFmtId="0" fontId="7" fillId="0" borderId="0" xfId="0" applyFont="1"/>
    <xf numFmtId="0" fontId="3" fillId="0" borderId="0" xfId="0" applyFont="1" applyAlignment="1">
      <alignment vertical="center"/>
    </xf>
    <xf numFmtId="0" fontId="2" fillId="0" borderId="0" xfId="0" applyFont="1" applyAlignment="1">
      <alignment vertical="center"/>
    </xf>
    <xf numFmtId="0" fontId="2" fillId="0" borderId="0" xfId="0" applyFont="1" applyAlignment="1">
      <alignment horizontal="left"/>
    </xf>
    <xf numFmtId="0" fontId="8" fillId="2" borderId="0" xfId="0" applyFont="1" applyFill="1" applyAlignment="1">
      <alignment horizontal="center" vertical="center"/>
    </xf>
    <xf numFmtId="0" fontId="11" fillId="2" borderId="1" xfId="0" applyFont="1" applyFill="1" applyBorder="1" applyAlignment="1">
      <alignment horizontal="center" vertical="center"/>
    </xf>
    <xf numFmtId="164" fontId="7" fillId="3" borderId="1" xfId="0" applyNumberFormat="1" applyFont="1" applyFill="1" applyBorder="1" applyAlignment="1">
      <alignment horizontal="center" vertical="center"/>
    </xf>
    <xf numFmtId="0" fontId="7" fillId="3" borderId="1" xfId="0" applyFont="1" applyFill="1" applyBorder="1" applyAlignment="1">
      <alignment horizontal="center" vertical="center"/>
    </xf>
    <xf numFmtId="0" fontId="10" fillId="2" borderId="0" xfId="0" applyFont="1" applyFill="1" applyAlignment="1">
      <alignment horizontal="center" vertical="center"/>
    </xf>
    <xf numFmtId="0" fontId="9" fillId="4" borderId="0" xfId="0" applyFont="1" applyFill="1" applyAlignment="1"/>
    <xf numFmtId="0" fontId="12" fillId="2" borderId="0" xfId="0" applyFont="1" applyFill="1" applyAlignment="1">
      <alignment horizontal="center"/>
    </xf>
    <xf numFmtId="0" fontId="0" fillId="3" borderId="3" xfId="0" applyFill="1" applyBorder="1"/>
    <xf numFmtId="0" fontId="0" fillId="3" borderId="4" xfId="0" applyFill="1" applyBorder="1"/>
    <xf numFmtId="0" fontId="0" fillId="3" borderId="5" xfId="0" applyFill="1" applyBorder="1"/>
    <xf numFmtId="0" fontId="1" fillId="3" borderId="7" xfId="0" applyFont="1" applyFill="1" applyBorder="1"/>
    <xf numFmtId="0" fontId="0" fillId="3" borderId="6" xfId="0" applyFill="1" applyBorder="1"/>
    <xf numFmtId="0" fontId="0" fillId="3" borderId="0"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0" fontId="0" fillId="0" borderId="0" xfId="0" applyNumberFormat="1"/>
    <xf numFmtId="165" fontId="7" fillId="3" borderId="1" xfId="1" applyNumberFormat="1" applyFont="1" applyFill="1" applyBorder="1" applyAlignment="1">
      <alignment horizontal="center" vertical="center"/>
    </xf>
    <xf numFmtId="0" fontId="1" fillId="3" borderId="6" xfId="0" applyFont="1" applyFill="1" applyBorder="1" applyAlignment="1">
      <alignment horizontal="left"/>
    </xf>
    <xf numFmtId="0" fontId="1" fillId="3" borderId="0" xfId="0" applyFont="1" applyFill="1" applyBorder="1" applyAlignment="1">
      <alignment horizontal="left"/>
    </xf>
    <xf numFmtId="0" fontId="3" fillId="0" borderId="0" xfId="0" applyNumberFormat="1" applyFont="1"/>
    <xf numFmtId="164" fontId="0" fillId="0" borderId="0" xfId="0" applyNumberFormat="1"/>
  </cellXfs>
  <cellStyles count="2">
    <cellStyle name="Normal" xfId="0" builtinId="0"/>
    <cellStyle name="Per cent" xfId="1" builtinId="5"/>
  </cellStyles>
  <dxfs count="130">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numFmt numFmtId="19" formatCode="dd/mm/yyyy"/>
    </dxf>
    <dxf>
      <font>
        <b val="0"/>
        <i val="0"/>
        <strike val="0"/>
        <condense val="0"/>
        <extend val="0"/>
        <outline val="0"/>
        <shadow val="0"/>
        <u val="none"/>
        <vertAlign val="baseline"/>
        <sz val="14"/>
        <color theme="1"/>
        <name val="Calibri"/>
        <family val="2"/>
        <scheme val="minor"/>
      </font>
      <numFmt numFmtId="0" formatCode="General"/>
    </dxf>
    <dxf>
      <font>
        <b val="0"/>
        <i val="0"/>
        <strike val="0"/>
        <condense val="0"/>
        <extend val="0"/>
        <outline val="0"/>
        <shadow val="0"/>
        <u val="none"/>
        <vertAlign val="baseline"/>
        <sz val="14"/>
        <color theme="1"/>
        <name val="Calibri"/>
        <family val="2"/>
        <scheme val="minor"/>
      </font>
      <numFmt numFmtId="19" formatCode="dd/mm/yyyy"/>
    </dxf>
    <dxf>
      <font>
        <strike val="0"/>
        <outline val="0"/>
        <shadow val="0"/>
        <u val="none"/>
        <vertAlign val="baseline"/>
        <sz val="14"/>
        <color theme="1"/>
        <name val="Calibri"/>
        <family val="2"/>
        <scheme val="minor"/>
      </font>
    </dxf>
    <dxf>
      <border outline="0">
        <top style="thin">
          <color auto="1"/>
        </top>
      </border>
    </dxf>
    <dxf>
      <font>
        <strike val="0"/>
        <outline val="0"/>
        <shadow val="0"/>
        <u val="none"/>
        <vertAlign val="baseline"/>
        <sz val="14"/>
        <color rgb="FF000000"/>
        <name val="Calibri"/>
        <family val="2"/>
        <scheme val="none"/>
      </font>
    </dxf>
    <dxf>
      <border outline="0">
        <bottom style="thin">
          <color auto="1"/>
        </bottom>
      </border>
    </dxf>
    <dxf>
      <font>
        <b/>
        <i val="0"/>
        <strike val="0"/>
        <condense val="0"/>
        <extend val="0"/>
        <outline val="0"/>
        <shadow val="0"/>
        <u val="none"/>
        <vertAlign val="baseline"/>
        <sz val="14"/>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[Supermarket_Sales_DAshboard.xlsx]PVT_Chart!PivotTable19</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PVT_Chart!$B$20</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PVT_Chart!$A$21:$A$25</c:f>
              <c:strCache>
                <c:ptCount val="4"/>
                <c:pt idx="0">
                  <c:v>North</c:v>
                </c:pt>
                <c:pt idx="1">
                  <c:v>West</c:v>
                </c:pt>
                <c:pt idx="2">
                  <c:v>East</c:v>
                </c:pt>
                <c:pt idx="3">
                  <c:v>South</c:v>
                </c:pt>
              </c:strCache>
            </c:strRef>
          </c:cat>
          <c:val>
            <c:numRef>
              <c:f>PVT_Chart!$B$21:$B$25</c:f>
              <c:numCache>
                <c:formatCode>"£"#,##0.00</c:formatCode>
                <c:ptCount val="4"/>
                <c:pt idx="0">
                  <c:v>656.24000000000012</c:v>
                </c:pt>
                <c:pt idx="1">
                  <c:v>704.83</c:v>
                </c:pt>
                <c:pt idx="2">
                  <c:v>737.93999999999994</c:v>
                </c:pt>
                <c:pt idx="3">
                  <c:v>764.91</c:v>
                </c:pt>
              </c:numCache>
            </c:numRef>
          </c:val>
          <c:extLst>
            <c:ext xmlns:c16="http://schemas.microsoft.com/office/drawing/2014/chart" uri="{C3380CC4-5D6E-409C-BE32-E72D297353CC}">
              <c16:uniqueId val="{00000000-49DE-44BD-8087-25F56E8B8BB2}"/>
            </c:ext>
          </c:extLst>
        </c:ser>
        <c:dLbls>
          <c:dLblPos val="inEnd"/>
          <c:showLegendKey val="0"/>
          <c:showVal val="1"/>
          <c:showCatName val="0"/>
          <c:showSerName val="0"/>
          <c:showPercent val="0"/>
          <c:showBubbleSize val="0"/>
        </c:dLbls>
        <c:gapWidth val="65"/>
        <c:axId val="1040770127"/>
        <c:axId val="531742159"/>
      </c:barChart>
      <c:catAx>
        <c:axId val="104077012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31742159"/>
        <c:crosses val="autoZero"/>
        <c:auto val="1"/>
        <c:lblAlgn val="ctr"/>
        <c:lblOffset val="100"/>
        <c:noMultiLvlLbl val="0"/>
      </c:catAx>
      <c:valAx>
        <c:axId val="531742159"/>
        <c:scaling>
          <c:orientation val="minMax"/>
        </c:scaling>
        <c:delete val="0"/>
        <c:axPos val="b"/>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040770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[Supermarket_Sales_DAshboard.xlsx]PVT_Chart!PivotTable20</c:name>
    <c:fmtId val="4"/>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PVT_Chart!$B$33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PVT_Chart!$A$34:$A$40</c:f>
              <c:strCache>
                <c:ptCount val="6"/>
                <c:pt idx="0">
                  <c:v>Beverages</c:v>
                </c:pt>
                <c:pt idx="1">
                  <c:v>Meat</c:v>
                </c:pt>
                <c:pt idx="2">
                  <c:v>Dairy</c:v>
                </c:pt>
                <c:pt idx="3">
                  <c:v>Grocery</c:v>
                </c:pt>
                <c:pt idx="4">
                  <c:v>Produce</c:v>
                </c:pt>
                <c:pt idx="5">
                  <c:v>Bakery</c:v>
                </c:pt>
              </c:strCache>
            </c:strRef>
          </c:cat>
          <c:val>
            <c:numRef>
              <c:f>PVT_Chart!$B$34:$B$40</c:f>
              <c:numCache>
                <c:formatCode>"£"#,##0.00</c:formatCode>
                <c:ptCount val="6"/>
                <c:pt idx="0">
                  <c:v>782.24</c:v>
                </c:pt>
                <c:pt idx="1">
                  <c:v>588.58000000000015</c:v>
                </c:pt>
                <c:pt idx="2">
                  <c:v>500.94000000000011</c:v>
                </c:pt>
                <c:pt idx="3">
                  <c:v>480.18</c:v>
                </c:pt>
                <c:pt idx="4">
                  <c:v>382.37999999999994</c:v>
                </c:pt>
                <c:pt idx="5">
                  <c:v>129.60000000000002</c:v>
                </c:pt>
              </c:numCache>
            </c:numRef>
          </c:val>
          <c:extLst>
            <c:ext xmlns:c16="http://schemas.microsoft.com/office/drawing/2014/chart" uri="{C3380CC4-5D6E-409C-BE32-E72D297353CC}">
              <c16:uniqueId val="{00000000-2B72-4B5E-A471-B8665941F540}"/>
            </c:ext>
          </c:extLst>
        </c:ser>
        <c:dLbls>
          <c:dLblPos val="inEnd"/>
          <c:showLegendKey val="0"/>
          <c:showVal val="1"/>
          <c:showCatName val="0"/>
          <c:showSerName val="0"/>
          <c:showPercent val="0"/>
          <c:showBubbleSize val="0"/>
        </c:dLbls>
        <c:gapWidth val="41"/>
        <c:axId val="1052834111"/>
        <c:axId val="531842959"/>
      </c:barChart>
      <c:catAx>
        <c:axId val="10528341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531842959"/>
        <c:crosses val="autoZero"/>
        <c:auto val="1"/>
        <c:lblAlgn val="ctr"/>
        <c:lblOffset val="100"/>
        <c:noMultiLvlLbl val="0"/>
      </c:catAx>
      <c:valAx>
        <c:axId val="531842959"/>
        <c:scaling>
          <c:orientation val="minMax"/>
        </c:scaling>
        <c:delete val="1"/>
        <c:axPos val="l"/>
        <c:numFmt formatCode="&quot;£&quot;#,##0.00" sourceLinked="1"/>
        <c:majorTickMark val="none"/>
        <c:minorTickMark val="none"/>
        <c:tickLblPos val="nextTo"/>
        <c:crossAx val="1052834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[Supermarket_Sales_DAshboard.xlsx]PVT_Chart!PivotTable18</c:name>
    <c:fmtId val="3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GB" b="1"/>
              <a:t>Monthly</a:t>
            </a:r>
            <a:r>
              <a:rPr lang="en-GB" b="1" baseline="0"/>
              <a:t> Sales Trend</a:t>
            </a:r>
            <a:endParaRPr lang="en-GB"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PVT_Chart!$B$3</c:f>
              <c:strCache>
                <c:ptCount val="1"/>
                <c:pt idx="0">
                  <c:v>Total</c:v>
                </c:pt>
              </c:strCache>
            </c:strRef>
          </c:tx>
          <c:spPr>
            <a:ln w="28575" cap="rnd">
              <a:solidFill>
                <a:schemeClr val="accent1"/>
              </a:solidFill>
              <a:round/>
            </a:ln>
            <a:effectLst/>
          </c:spPr>
          <c:marker>
            <c:symbol val="none"/>
          </c:marker>
          <c:cat>
            <c:strRef>
              <c:f>PVT_Chart!$A$4:$A$16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PVT_Chart!$B$4:$B$16</c:f>
              <c:numCache>
                <c:formatCode>"£"#,##0.00</c:formatCode>
                <c:ptCount val="12"/>
                <c:pt idx="0">
                  <c:v>431.70000000000005</c:v>
                </c:pt>
                <c:pt idx="1">
                  <c:v>203.74999999999997</c:v>
                </c:pt>
                <c:pt idx="2">
                  <c:v>173.03</c:v>
                </c:pt>
                <c:pt idx="3">
                  <c:v>264.33</c:v>
                </c:pt>
                <c:pt idx="4">
                  <c:v>196.97000000000003</c:v>
                </c:pt>
                <c:pt idx="5">
                  <c:v>265.29999999999995</c:v>
                </c:pt>
                <c:pt idx="6">
                  <c:v>220.46000000000004</c:v>
                </c:pt>
                <c:pt idx="7">
                  <c:v>93.84</c:v>
                </c:pt>
                <c:pt idx="8">
                  <c:v>251.02</c:v>
                </c:pt>
                <c:pt idx="9">
                  <c:v>218.82000000000002</c:v>
                </c:pt>
                <c:pt idx="10">
                  <c:v>333.60999999999996</c:v>
                </c:pt>
                <c:pt idx="11">
                  <c:v>211.09</c:v>
                </c:pt>
              </c:numCache>
            </c:numRef>
          </c:val>
          <c:smooth val="0"/>
          <c:extLst>
            <c:ext xmlns:c16="http://schemas.microsoft.com/office/drawing/2014/chart" uri="{C3380CC4-5D6E-409C-BE32-E72D297353CC}">
              <c16:uniqueId val="{00000000-8B4E-4383-805C-E1489C0A1A4E}"/>
            </c:ext>
          </c:extLst>
        </c:ser>
        <c:dLbls>
          <c:showLegendKey val="0"/>
          <c:showVal val="0"/>
          <c:showCatName val="0"/>
          <c:showSerName val="0"/>
          <c:showPercent val="0"/>
          <c:showBubbleSize val="0"/>
        </c:dLbls>
        <c:smooth val="0"/>
        <c:axId val="1048559871"/>
        <c:axId val="531892879"/>
      </c:lineChart>
      <c:catAx>
        <c:axId val="1048559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892879"/>
        <c:crosses val="autoZero"/>
        <c:auto val="1"/>
        <c:lblAlgn val="ctr"/>
        <c:lblOffset val="100"/>
        <c:noMultiLvlLbl val="0"/>
      </c:catAx>
      <c:valAx>
        <c:axId val="5318928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559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[Supermarket_Sales_DAshboard.xlsx]PVT_Chart!PivotTable21</c:name>
    <c:fmtId val="1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10 customers by sale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PVT_Chart!$B$42</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PVT_Chart!$A$43:$A$53</c:f>
              <c:strCache>
                <c:ptCount val="10"/>
                <c:pt idx="0">
                  <c:v>Customer 16</c:v>
                </c:pt>
                <c:pt idx="1">
                  <c:v>Customer 04</c:v>
                </c:pt>
                <c:pt idx="2">
                  <c:v>Customer 08</c:v>
                </c:pt>
                <c:pt idx="3">
                  <c:v>Customer 12</c:v>
                </c:pt>
                <c:pt idx="4">
                  <c:v>Customer 22</c:v>
                </c:pt>
                <c:pt idx="5">
                  <c:v>Customer 27</c:v>
                </c:pt>
                <c:pt idx="6">
                  <c:v>Customer 20</c:v>
                </c:pt>
                <c:pt idx="7">
                  <c:v>Customer 17</c:v>
                </c:pt>
                <c:pt idx="8">
                  <c:v>Customer 21</c:v>
                </c:pt>
                <c:pt idx="9">
                  <c:v>Customer 03</c:v>
                </c:pt>
              </c:strCache>
            </c:strRef>
          </c:cat>
          <c:val>
            <c:numRef>
              <c:f>PVT_Chart!$B$43:$B$53</c:f>
              <c:numCache>
                <c:formatCode>"£"#,##0.00</c:formatCode>
                <c:ptCount val="10"/>
                <c:pt idx="0">
                  <c:v>114.16</c:v>
                </c:pt>
                <c:pt idx="1">
                  <c:v>114.42</c:v>
                </c:pt>
                <c:pt idx="2">
                  <c:v>123.63999999999999</c:v>
                </c:pt>
                <c:pt idx="3">
                  <c:v>130.28</c:v>
                </c:pt>
                <c:pt idx="4">
                  <c:v>137.72999999999999</c:v>
                </c:pt>
                <c:pt idx="5">
                  <c:v>147.75</c:v>
                </c:pt>
                <c:pt idx="6">
                  <c:v>153.46</c:v>
                </c:pt>
                <c:pt idx="7">
                  <c:v>164.35</c:v>
                </c:pt>
                <c:pt idx="8">
                  <c:v>173.83</c:v>
                </c:pt>
                <c:pt idx="9">
                  <c:v>292.31</c:v>
                </c:pt>
              </c:numCache>
            </c:numRef>
          </c:val>
          <c:extLst>
            <c:ext xmlns:c16="http://schemas.microsoft.com/office/drawing/2014/chart" uri="{C3380CC4-5D6E-409C-BE32-E72D297353CC}">
              <c16:uniqueId val="{00000000-1FE3-491E-81C2-D95E23FADE32}"/>
            </c:ext>
          </c:extLst>
        </c:ser>
        <c:dLbls>
          <c:dLblPos val="inEnd"/>
          <c:showLegendKey val="0"/>
          <c:showVal val="1"/>
          <c:showCatName val="0"/>
          <c:showSerName val="0"/>
          <c:showPercent val="0"/>
          <c:showBubbleSize val="0"/>
        </c:dLbls>
        <c:gapWidth val="65"/>
        <c:axId val="1094219343"/>
        <c:axId val="531833359"/>
      </c:barChart>
      <c:catAx>
        <c:axId val="1094219343"/>
        <c:scaling>
          <c:orientation val="minMax"/>
        </c:scaling>
        <c:delete val="0"/>
        <c:axPos val="l"/>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31833359"/>
        <c:crosses val="autoZero"/>
        <c:auto val="1"/>
        <c:lblAlgn val="ctr"/>
        <c:lblOffset val="100"/>
        <c:noMultiLvlLbl val="0"/>
      </c:catAx>
      <c:valAx>
        <c:axId val="531833359"/>
        <c:scaling>
          <c:orientation val="minMax"/>
        </c:scaling>
        <c:delete val="1"/>
        <c:axPos val="b"/>
        <c:numFmt formatCode="&quot;£&quot;#,##0.00" sourceLinked="1"/>
        <c:majorTickMark val="out"/>
        <c:minorTickMark val="none"/>
        <c:tickLblPos val="nextTo"/>
        <c:crossAx val="1094219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[Supermarket_Sales_DAshboard.xlsx]PVT_Chart!PivotTable19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PVT_Chart!$B$20</c:f>
              <c:strCache>
                <c:ptCount val="1"/>
                <c:pt idx="0">
                  <c:v>Total</c:v>
                </c:pt>
              </c:strCache>
            </c:strRef>
          </c:tx>
          <c:spPr>
            <a:solidFill>
              <a:schemeClr val="accent1"/>
            </a:solidFill>
            <a:ln>
              <a:noFill/>
            </a:ln>
            <a:effectLst/>
          </c:spPr>
          <c:invertIfNegative val="0"/>
          <c:cat>
            <c:strRef>
              <c:f>PVT_Chart!$A$21:$A$25</c:f>
              <c:strCache>
                <c:ptCount val="4"/>
                <c:pt idx="0">
                  <c:v>North</c:v>
                </c:pt>
                <c:pt idx="1">
                  <c:v>West</c:v>
                </c:pt>
                <c:pt idx="2">
                  <c:v>East</c:v>
                </c:pt>
                <c:pt idx="3">
                  <c:v>South</c:v>
                </c:pt>
              </c:strCache>
            </c:strRef>
          </c:cat>
          <c:val>
            <c:numRef>
              <c:f>PVT_Chart!$B$21:$B$25</c:f>
              <c:numCache>
                <c:formatCode>"£"#,##0.00</c:formatCode>
                <c:ptCount val="4"/>
                <c:pt idx="0">
                  <c:v>656.24000000000012</c:v>
                </c:pt>
                <c:pt idx="1">
                  <c:v>704.83</c:v>
                </c:pt>
                <c:pt idx="2">
                  <c:v>737.93999999999994</c:v>
                </c:pt>
                <c:pt idx="3">
                  <c:v>764.91</c:v>
                </c:pt>
              </c:numCache>
            </c:numRef>
          </c:val>
          <c:extLst>
            <c:ext xmlns:c16="http://schemas.microsoft.com/office/drawing/2014/chart" uri="{C3380CC4-5D6E-409C-BE32-E72D297353CC}">
              <c16:uniqueId val="{00000000-0A73-448D-A126-FC5E834A22DF}"/>
            </c:ext>
          </c:extLst>
        </c:ser>
        <c:dLbls>
          <c:showLegendKey val="0"/>
          <c:showVal val="0"/>
          <c:showCatName val="0"/>
          <c:showSerName val="0"/>
          <c:showPercent val="0"/>
          <c:showBubbleSize val="0"/>
        </c:dLbls>
        <c:gapWidth val="182"/>
        <c:axId val="1040770127"/>
        <c:axId val="531742159"/>
      </c:barChart>
      <c:catAx>
        <c:axId val="10407701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742159"/>
        <c:crosses val="autoZero"/>
        <c:auto val="1"/>
        <c:lblAlgn val="ctr"/>
        <c:lblOffset val="100"/>
        <c:noMultiLvlLbl val="0"/>
      </c:catAx>
      <c:valAx>
        <c:axId val="531742159"/>
        <c:scaling>
          <c:orientation val="minMax"/>
        </c:scaling>
        <c:delete val="0"/>
        <c:axPos val="b"/>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0770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[Supermarket_Sales_DAshboard.xlsx]PVT_Chart!PivotTable20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PVT_Chart!$B$33</c:f>
              <c:strCache>
                <c:ptCount val="1"/>
                <c:pt idx="0">
                  <c:v>Total</c:v>
                </c:pt>
              </c:strCache>
            </c:strRef>
          </c:tx>
          <c:spPr>
            <a:solidFill>
              <a:schemeClr val="accent1"/>
            </a:solidFill>
            <a:ln>
              <a:noFill/>
            </a:ln>
            <a:effectLst/>
          </c:spPr>
          <c:invertIfNegative val="0"/>
          <c:cat>
            <c:strRef>
              <c:f>PVT_Chart!$A$34:$A$40</c:f>
              <c:strCache>
                <c:ptCount val="6"/>
                <c:pt idx="0">
                  <c:v>Beverages</c:v>
                </c:pt>
                <c:pt idx="1">
                  <c:v>Meat</c:v>
                </c:pt>
                <c:pt idx="2">
                  <c:v>Dairy</c:v>
                </c:pt>
                <c:pt idx="3">
                  <c:v>Grocery</c:v>
                </c:pt>
                <c:pt idx="4">
                  <c:v>Produce</c:v>
                </c:pt>
                <c:pt idx="5">
                  <c:v>Bakery</c:v>
                </c:pt>
              </c:strCache>
            </c:strRef>
          </c:cat>
          <c:val>
            <c:numRef>
              <c:f>PVT_Chart!$B$34:$B$40</c:f>
              <c:numCache>
                <c:formatCode>"£"#,##0.00</c:formatCode>
                <c:ptCount val="6"/>
                <c:pt idx="0">
                  <c:v>782.24</c:v>
                </c:pt>
                <c:pt idx="1">
                  <c:v>588.58000000000015</c:v>
                </c:pt>
                <c:pt idx="2">
                  <c:v>500.94000000000011</c:v>
                </c:pt>
                <c:pt idx="3">
                  <c:v>480.18</c:v>
                </c:pt>
                <c:pt idx="4">
                  <c:v>382.37999999999994</c:v>
                </c:pt>
                <c:pt idx="5">
                  <c:v>129.60000000000002</c:v>
                </c:pt>
              </c:numCache>
            </c:numRef>
          </c:val>
          <c:extLst>
            <c:ext xmlns:c16="http://schemas.microsoft.com/office/drawing/2014/chart" uri="{C3380CC4-5D6E-409C-BE32-E72D297353CC}">
              <c16:uniqueId val="{00000000-0958-4F9C-9C92-42C8FEA59F4D}"/>
            </c:ext>
          </c:extLst>
        </c:ser>
        <c:dLbls>
          <c:showLegendKey val="0"/>
          <c:showVal val="0"/>
          <c:showCatName val="0"/>
          <c:showSerName val="0"/>
          <c:showPercent val="0"/>
          <c:showBubbleSize val="0"/>
        </c:dLbls>
        <c:gapWidth val="219"/>
        <c:overlap val="-27"/>
        <c:axId val="1052834111"/>
        <c:axId val="531842959"/>
      </c:barChart>
      <c:catAx>
        <c:axId val="1052834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842959"/>
        <c:crosses val="autoZero"/>
        <c:auto val="1"/>
        <c:lblAlgn val="ctr"/>
        <c:lblOffset val="100"/>
        <c:noMultiLvlLbl val="0"/>
      </c:catAx>
      <c:valAx>
        <c:axId val="53184295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2834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[Supermarket_Sales_DAshboard.xlsx]PVT_Chart!PivotTable21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customers by sale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PVT_Chart!$B$42</c:f>
              <c:strCache>
                <c:ptCount val="1"/>
                <c:pt idx="0">
                  <c:v>Total</c:v>
                </c:pt>
              </c:strCache>
            </c:strRef>
          </c:tx>
          <c:spPr>
            <a:solidFill>
              <a:schemeClr val="accent1"/>
            </a:solidFill>
            <a:ln>
              <a:noFill/>
            </a:ln>
            <a:effectLst/>
          </c:spPr>
          <c:invertIfNegative val="0"/>
          <c:cat>
            <c:strRef>
              <c:f>PVT_Chart!$A$43:$A$53</c:f>
              <c:strCache>
                <c:ptCount val="10"/>
                <c:pt idx="0">
                  <c:v>Customer 16</c:v>
                </c:pt>
                <c:pt idx="1">
                  <c:v>Customer 04</c:v>
                </c:pt>
                <c:pt idx="2">
                  <c:v>Customer 08</c:v>
                </c:pt>
                <c:pt idx="3">
                  <c:v>Customer 12</c:v>
                </c:pt>
                <c:pt idx="4">
                  <c:v>Customer 22</c:v>
                </c:pt>
                <c:pt idx="5">
                  <c:v>Customer 27</c:v>
                </c:pt>
                <c:pt idx="6">
                  <c:v>Customer 20</c:v>
                </c:pt>
                <c:pt idx="7">
                  <c:v>Customer 17</c:v>
                </c:pt>
                <c:pt idx="8">
                  <c:v>Customer 21</c:v>
                </c:pt>
                <c:pt idx="9">
                  <c:v>Customer 03</c:v>
                </c:pt>
              </c:strCache>
            </c:strRef>
          </c:cat>
          <c:val>
            <c:numRef>
              <c:f>PVT_Chart!$B$43:$B$53</c:f>
              <c:numCache>
                <c:formatCode>"£"#,##0.00</c:formatCode>
                <c:ptCount val="10"/>
                <c:pt idx="0">
                  <c:v>114.16</c:v>
                </c:pt>
                <c:pt idx="1">
                  <c:v>114.42</c:v>
                </c:pt>
                <c:pt idx="2">
                  <c:v>123.63999999999999</c:v>
                </c:pt>
                <c:pt idx="3">
                  <c:v>130.28</c:v>
                </c:pt>
                <c:pt idx="4">
                  <c:v>137.72999999999999</c:v>
                </c:pt>
                <c:pt idx="5">
                  <c:v>147.75</c:v>
                </c:pt>
                <c:pt idx="6">
                  <c:v>153.46</c:v>
                </c:pt>
                <c:pt idx="7">
                  <c:v>164.35</c:v>
                </c:pt>
                <c:pt idx="8">
                  <c:v>173.83</c:v>
                </c:pt>
                <c:pt idx="9">
                  <c:v>292.31</c:v>
                </c:pt>
              </c:numCache>
            </c:numRef>
          </c:val>
          <c:extLst>
            <c:ext xmlns:c16="http://schemas.microsoft.com/office/drawing/2014/chart" uri="{C3380CC4-5D6E-409C-BE32-E72D297353CC}">
              <c16:uniqueId val="{00000000-387E-4F71-8785-2A4C7961450A}"/>
            </c:ext>
          </c:extLst>
        </c:ser>
        <c:dLbls>
          <c:showLegendKey val="0"/>
          <c:showVal val="0"/>
          <c:showCatName val="0"/>
          <c:showSerName val="0"/>
          <c:showPercent val="0"/>
          <c:showBubbleSize val="0"/>
        </c:dLbls>
        <c:gapWidth val="219"/>
        <c:axId val="1094219343"/>
        <c:axId val="531833359"/>
      </c:barChart>
      <c:catAx>
        <c:axId val="10942193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833359"/>
        <c:crosses val="autoZero"/>
        <c:auto val="1"/>
        <c:lblAlgn val="ctr"/>
        <c:lblOffset val="100"/>
        <c:noMultiLvlLbl val="0"/>
      </c:catAx>
      <c:valAx>
        <c:axId val="531833359"/>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4219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[Supermarket_Sales_DAshboard.xlsx]PVT_Chart!PivotTable18</c:name>
    <c:fmtId val="3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Monthly</a:t>
            </a:r>
            <a:r>
              <a:rPr lang="en-GB" baseline="0"/>
              <a:t> Sales Trend</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PVT_Chart!$B$3</c:f>
              <c:strCache>
                <c:ptCount val="1"/>
                <c:pt idx="0">
                  <c:v>Total</c:v>
                </c:pt>
              </c:strCache>
            </c:strRef>
          </c:tx>
          <c:spPr>
            <a:ln w="28575" cap="rnd">
              <a:solidFill>
                <a:schemeClr val="accent1"/>
              </a:solidFill>
              <a:round/>
            </a:ln>
            <a:effectLst/>
          </c:spPr>
          <c:marker>
            <c:symbol val="none"/>
          </c:marker>
          <c:cat>
            <c:strRef>
              <c:f>PVT_Chart!$A$4:$A$16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PVT_Chart!$B$4:$B$16</c:f>
              <c:numCache>
                <c:formatCode>"£"#,##0.00</c:formatCode>
                <c:ptCount val="12"/>
                <c:pt idx="0">
                  <c:v>431.70000000000005</c:v>
                </c:pt>
                <c:pt idx="1">
                  <c:v>203.74999999999997</c:v>
                </c:pt>
                <c:pt idx="2">
                  <c:v>173.03</c:v>
                </c:pt>
                <c:pt idx="3">
                  <c:v>264.33</c:v>
                </c:pt>
                <c:pt idx="4">
                  <c:v>196.97000000000003</c:v>
                </c:pt>
                <c:pt idx="5">
                  <c:v>265.29999999999995</c:v>
                </c:pt>
                <c:pt idx="6">
                  <c:v>220.46000000000004</c:v>
                </c:pt>
                <c:pt idx="7">
                  <c:v>93.84</c:v>
                </c:pt>
                <c:pt idx="8">
                  <c:v>251.02</c:v>
                </c:pt>
                <c:pt idx="9">
                  <c:v>218.82000000000002</c:v>
                </c:pt>
                <c:pt idx="10">
                  <c:v>333.60999999999996</c:v>
                </c:pt>
                <c:pt idx="11">
                  <c:v>211.09</c:v>
                </c:pt>
              </c:numCache>
            </c:numRef>
          </c:val>
          <c:smooth val="0"/>
          <c:extLst>
            <c:ext xmlns:c16="http://schemas.microsoft.com/office/drawing/2014/chart" uri="{C3380CC4-5D6E-409C-BE32-E72D297353CC}">
              <c16:uniqueId val="{00000000-66E2-483D-901D-9A5C7CC5986E}"/>
            </c:ext>
          </c:extLst>
        </c:ser>
        <c:dLbls>
          <c:showLegendKey val="0"/>
          <c:showVal val="0"/>
          <c:showCatName val="0"/>
          <c:showSerName val="0"/>
          <c:showPercent val="0"/>
          <c:showBubbleSize val="0"/>
        </c:dLbls>
        <c:smooth val="0"/>
        <c:axId val="1048559871"/>
        <c:axId val="531892879"/>
      </c:lineChart>
      <c:catAx>
        <c:axId val="1048559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892879"/>
        <c:crosses val="autoZero"/>
        <c:auto val="1"/>
        <c:lblAlgn val="ctr"/>
        <c:lblOffset val="100"/>
        <c:noMultiLvlLbl val="0"/>
      </c:catAx>
      <c:valAx>
        <c:axId val="5318928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559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559981</xdr:colOff>
      <xdr:row>15</xdr:row>
      <xdr:rowOff>121831</xdr:rowOff>
    </xdr:from>
    <xdr:to>
      <xdr:col>7</xdr:col>
      <xdr:colOff>561162</xdr:colOff>
      <xdr:row>26</xdr:row>
      <xdr:rowOff>155058</xdr:rowOff>
    </xdr:to>
    <xdr:graphicFrame macro="">
      <xdr:nvGraphicFramePr>
        <xdr:cNvPr id="8" name="Chart 7">
          <a:extLst>
            <a:ext uri="{FF2B5EF4-FFF2-40B4-BE49-F238E27FC236}">
              <a16:creationId xmlns:a16="http://schemas.microsoft.com/office/drawing/2014/main" id="{BDA29E2D-79AF-467F-96E4-F97034037F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708838</xdr:colOff>
      <xdr:row>15</xdr:row>
      <xdr:rowOff>120797</xdr:rowOff>
    </xdr:from>
    <xdr:to>
      <xdr:col>12</xdr:col>
      <xdr:colOff>718437</xdr:colOff>
      <xdr:row>26</xdr:row>
      <xdr:rowOff>133497</xdr:rowOff>
    </xdr:to>
    <xdr:graphicFrame macro="">
      <xdr:nvGraphicFramePr>
        <xdr:cNvPr id="10" name="Chart 9">
          <a:extLst>
            <a:ext uri="{FF2B5EF4-FFF2-40B4-BE49-F238E27FC236}">
              <a16:creationId xmlns:a16="http://schemas.microsoft.com/office/drawing/2014/main" id="{88C1461D-BCC9-47DA-8221-3C8BEC2E11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590550</xdr:colOff>
      <xdr:row>6</xdr:row>
      <xdr:rowOff>82550</xdr:rowOff>
    </xdr:from>
    <xdr:to>
      <xdr:col>9</xdr:col>
      <xdr:colOff>590698</xdr:colOff>
      <xdr:row>15</xdr:row>
      <xdr:rowOff>36919</xdr:rowOff>
    </xdr:to>
    <xdr:graphicFrame macro="">
      <xdr:nvGraphicFramePr>
        <xdr:cNvPr id="13" name="Chart 12">
          <a:extLst>
            <a:ext uri="{FF2B5EF4-FFF2-40B4-BE49-F238E27FC236}">
              <a16:creationId xmlns:a16="http://schemas.microsoft.com/office/drawing/2014/main" id="{A8754465-F60A-4D0F-A3F2-1FAA7CCD57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590550</xdr:colOff>
      <xdr:row>27</xdr:row>
      <xdr:rowOff>38100</xdr:rowOff>
    </xdr:from>
    <xdr:to>
      <xdr:col>12</xdr:col>
      <xdr:colOff>738372</xdr:colOff>
      <xdr:row>42</xdr:row>
      <xdr:rowOff>19050</xdr:rowOff>
    </xdr:to>
    <xdr:graphicFrame macro="">
      <xdr:nvGraphicFramePr>
        <xdr:cNvPr id="14" name="Chart 13">
          <a:extLst>
            <a:ext uri="{FF2B5EF4-FFF2-40B4-BE49-F238E27FC236}">
              <a16:creationId xmlns:a16="http://schemas.microsoft.com/office/drawing/2014/main" id="{BEBAFED3-AC81-4D04-8F2C-9E50F0CCBF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605021</xdr:colOff>
      <xdr:row>42</xdr:row>
      <xdr:rowOff>144722</xdr:rowOff>
    </xdr:from>
    <xdr:to>
      <xdr:col>5</xdr:col>
      <xdr:colOff>339208</xdr:colOff>
      <xdr:row>45</xdr:row>
      <xdr:rowOff>177210</xdr:rowOff>
    </xdr:to>
    <mc:AlternateContent xmlns:mc="http://schemas.openxmlformats.org/markup-compatibility/2006" xmlns:a14="http://schemas.microsoft.com/office/drawing/2010/main">
      <mc:Choice Requires="a14">
        <xdr:graphicFrame macro="">
          <xdr:nvGraphicFramePr>
            <xdr:cNvPr id="15" name="Month">
              <a:extLst>
                <a:ext uri="{FF2B5EF4-FFF2-40B4-BE49-F238E27FC236}">
                  <a16:creationId xmlns:a16="http://schemas.microsoft.com/office/drawing/2014/main" id="{A4D41AC3-D6B1-1E09-9FDA-FB80A2DE4C4B}"/>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830719" y="8288966"/>
              <a:ext cx="1838547" cy="58626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110755</xdr:colOff>
      <xdr:row>42</xdr:row>
      <xdr:rowOff>163624</xdr:rowOff>
    </xdr:from>
    <xdr:to>
      <xdr:col>10</xdr:col>
      <xdr:colOff>313808</xdr:colOff>
      <xdr:row>46</xdr:row>
      <xdr:rowOff>7384</xdr:rowOff>
    </xdr:to>
    <mc:AlternateContent xmlns:mc="http://schemas.openxmlformats.org/markup-compatibility/2006">
      <mc:Choice xmlns:a14="http://schemas.microsoft.com/office/drawing/2010/main" Requires="a14">
        <xdr:graphicFrame macro="">
          <xdr:nvGraphicFramePr>
            <xdr:cNvPr id="16" name="Region">
              <a:extLst>
                <a:ext uri="{FF2B5EF4-FFF2-40B4-BE49-F238E27FC236}">
                  <a16:creationId xmlns:a16="http://schemas.microsoft.com/office/drawing/2014/main" id="{E28B564A-B7F6-64B7-DF48-5AE7DA42A25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678081" y="8470310"/>
              <a:ext cx="1694564" cy="58213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386170</xdr:colOff>
      <xdr:row>42</xdr:row>
      <xdr:rowOff>162442</xdr:rowOff>
    </xdr:from>
    <xdr:to>
      <xdr:col>12</xdr:col>
      <xdr:colOff>733204</xdr:colOff>
      <xdr:row>46</xdr:row>
      <xdr:rowOff>14768</xdr:rowOff>
    </xdr:to>
    <mc:AlternateContent xmlns:mc="http://schemas.openxmlformats.org/markup-compatibility/2006">
      <mc:Choice xmlns:a14="http://schemas.microsoft.com/office/drawing/2010/main" Requires="a14">
        <xdr:graphicFrame macro="">
          <xdr:nvGraphicFramePr>
            <xdr:cNvPr id="17" name="Customer">
              <a:extLst>
                <a:ext uri="{FF2B5EF4-FFF2-40B4-BE49-F238E27FC236}">
                  <a16:creationId xmlns:a16="http://schemas.microsoft.com/office/drawing/2014/main" id="{04C08086-6986-FCD0-DCD4-62FD29E9765A}"/>
                </a:ext>
              </a:extLst>
            </xdr:cNvPr>
            <xdr:cNvGraphicFramePr/>
          </xdr:nvGraphicFramePr>
          <xdr:xfrm>
            <a:off x="0" y="0"/>
            <a:ext cx="0" cy="0"/>
          </xdr:xfrm>
          <a:graphic>
            <a:graphicData uri="http://schemas.microsoft.com/office/drawing/2010/slicer">
              <sle:slicer xmlns:sle="http://schemas.microsoft.com/office/drawing/2010/slicer" name="Customer"/>
            </a:graphicData>
          </a:graphic>
        </xdr:graphicFrame>
      </mc:Choice>
      <mc:Fallback>
        <xdr:sp macro="" textlink="">
          <xdr:nvSpPr>
            <xdr:cNvPr id="0" name=""/>
            <xdr:cNvSpPr>
              <a:spLocks noTextEdit="1"/>
            </xdr:cNvSpPr>
          </xdr:nvSpPr>
          <xdr:spPr>
            <a:xfrm>
              <a:off x="7445007" y="8469128"/>
              <a:ext cx="1838546" cy="59069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434310</xdr:colOff>
      <xdr:row>42</xdr:row>
      <xdr:rowOff>167169</xdr:rowOff>
    </xdr:from>
    <xdr:to>
      <xdr:col>8</xdr:col>
      <xdr:colOff>51686</xdr:colOff>
      <xdr:row>45</xdr:row>
      <xdr:rowOff>177210</xdr:rowOff>
    </xdr:to>
    <mc:AlternateContent xmlns:mc="http://schemas.openxmlformats.org/markup-compatibility/2006">
      <mc:Choice xmlns:a14="http://schemas.microsoft.com/office/drawing/2010/main" Requires="a14">
        <xdr:graphicFrame macro="">
          <xdr:nvGraphicFramePr>
            <xdr:cNvPr id="18" name="Category">
              <a:extLst>
                <a:ext uri="{FF2B5EF4-FFF2-40B4-BE49-F238E27FC236}">
                  <a16:creationId xmlns:a16="http://schemas.microsoft.com/office/drawing/2014/main" id="{B79F58EE-C003-AACF-2E0F-D556E9A8009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3764368" y="8473855"/>
              <a:ext cx="1854644" cy="56382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11</xdr:col>
      <xdr:colOff>323850</xdr:colOff>
      <xdr:row>1</xdr:row>
      <xdr:rowOff>146050</xdr:rowOff>
    </xdr:from>
    <xdr:to>
      <xdr:col>19</xdr:col>
      <xdr:colOff>19050</xdr:colOff>
      <xdr:row>16</xdr:row>
      <xdr:rowOff>127000</xdr:rowOff>
    </xdr:to>
    <xdr:graphicFrame macro="">
      <xdr:nvGraphicFramePr>
        <xdr:cNvPr id="11" name="Chart 10">
          <a:extLst>
            <a:ext uri="{FF2B5EF4-FFF2-40B4-BE49-F238E27FC236}">
              <a16:creationId xmlns:a16="http://schemas.microsoft.com/office/drawing/2014/main" id="{B039237E-A7B6-E8DF-BCDD-32386A567C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603250</xdr:colOff>
      <xdr:row>18</xdr:row>
      <xdr:rowOff>98425</xdr:rowOff>
    </xdr:from>
    <xdr:to>
      <xdr:col>10</xdr:col>
      <xdr:colOff>298450</xdr:colOff>
      <xdr:row>33</xdr:row>
      <xdr:rowOff>79375</xdr:rowOff>
    </xdr:to>
    <xdr:graphicFrame macro="">
      <xdr:nvGraphicFramePr>
        <xdr:cNvPr id="12" name="Chart 11">
          <a:extLst>
            <a:ext uri="{FF2B5EF4-FFF2-40B4-BE49-F238E27FC236}">
              <a16:creationId xmlns:a16="http://schemas.microsoft.com/office/drawing/2014/main" id="{6BE1B4A2-AAAE-7B1D-6D95-5FEF5948BD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254000</xdr:colOff>
      <xdr:row>18</xdr:row>
      <xdr:rowOff>25400</xdr:rowOff>
    </xdr:from>
    <xdr:to>
      <xdr:col>18</xdr:col>
      <xdr:colOff>558800</xdr:colOff>
      <xdr:row>33</xdr:row>
      <xdr:rowOff>6350</xdr:rowOff>
    </xdr:to>
    <xdr:graphicFrame macro="">
      <xdr:nvGraphicFramePr>
        <xdr:cNvPr id="13" name="Chart 12">
          <a:extLst>
            <a:ext uri="{FF2B5EF4-FFF2-40B4-BE49-F238E27FC236}">
              <a16:creationId xmlns:a16="http://schemas.microsoft.com/office/drawing/2014/main" id="{7DEC776C-2170-F4D1-0CFD-382019AF11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0</xdr:colOff>
      <xdr:row>1</xdr:row>
      <xdr:rowOff>158750</xdr:rowOff>
    </xdr:from>
    <xdr:to>
      <xdr:col>10</xdr:col>
      <xdr:colOff>304800</xdr:colOff>
      <xdr:row>16</xdr:row>
      <xdr:rowOff>139700</xdr:rowOff>
    </xdr:to>
    <xdr:graphicFrame macro="">
      <xdr:nvGraphicFramePr>
        <xdr:cNvPr id="14" name="Chart 13">
          <a:extLst>
            <a:ext uri="{FF2B5EF4-FFF2-40B4-BE49-F238E27FC236}">
              <a16:creationId xmlns:a16="http://schemas.microsoft.com/office/drawing/2014/main" id="{29E87CA4-993B-C037-F672-AC448C1598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sunith msunith" refreshedDate="46301.585923495368" createdVersion="8" refreshedVersion="8" minRefreshableVersion="3" recordCount="180" xr:uid="{298970ED-B386-4A58-9690-70E463387ADF}">
  <cacheSource type="worksheet">
    <worksheetSource name="SalesData"/>
  </cacheSource>
  <cacheFields count="16">
    <cacheField name="Order_ID" numFmtId="0">
      <sharedItems count="180">
        <s v="ORD0001"/>
        <s v="ORD0002"/>
        <s v="ORD0003"/>
        <s v="ORD0004"/>
        <s v="ORD0005"/>
        <s v="ORD0006"/>
        <s v="ORD0007"/>
        <s v="ORD0008"/>
        <s v="ORD0009"/>
        <s v="ORD0010"/>
        <s v="ORD0011"/>
        <s v="ORD0012"/>
        <s v="ORD0013"/>
        <s v="ORD0014"/>
        <s v="ORD0015"/>
        <s v="ORD0016"/>
        <s v="ORD0017"/>
        <s v="ORD0018"/>
        <s v="ORD0019"/>
        <s v="ORD0020"/>
        <s v="ORD0021"/>
        <s v="ORD0022"/>
        <s v="ORD0023"/>
        <s v="ORD0024"/>
        <s v="ORD0025"/>
        <s v="ORD0026"/>
        <s v="ORD0027"/>
        <s v="ORD0028"/>
        <s v="ORD0029"/>
        <s v="ORD0030"/>
        <s v="ORD0031"/>
        <s v="ORD0032"/>
        <s v="ORD0033"/>
        <s v="ORD0034"/>
        <s v="ORD0035"/>
        <s v="ORD0036"/>
        <s v="ORD0037"/>
        <s v="ORD0038"/>
        <s v="ORD0039"/>
        <s v="ORD0040"/>
        <s v="ORD0041"/>
        <s v="ORD0042"/>
        <s v="ORD0043"/>
        <s v="ORD0044"/>
        <s v="ORD0045"/>
        <s v="ORD0046"/>
        <s v="ORD0047"/>
        <s v="ORD0048"/>
        <s v="ORD0049"/>
        <s v="ORD0050"/>
        <s v="ORD0051"/>
        <s v="ORD0052"/>
        <s v="ORD0053"/>
        <s v="ORD0054"/>
        <s v="ORD0055"/>
        <s v="ORD0056"/>
        <s v="ORD0057"/>
        <s v="ORD0058"/>
        <s v="ORD0059"/>
        <s v="ORD0060"/>
        <s v="ORD0061"/>
        <s v="ORD0062"/>
        <s v="ORD0063"/>
        <s v="ORD0064"/>
        <s v="ORD0065"/>
        <s v="ORD0066"/>
        <s v="ORD0067"/>
        <s v="ORD0068"/>
        <s v="ORD0069"/>
        <s v="ORD0070"/>
        <s v="ORD0071"/>
        <s v="ORD0072"/>
        <s v="ORD0073"/>
        <s v="ORD0074"/>
        <s v="ORD0075"/>
        <s v="ORD0076"/>
        <s v="ORD0077"/>
        <s v="ORD0078"/>
        <s v="ORD0079"/>
        <s v="ORD0080"/>
        <s v="ORD0081"/>
        <s v="ORD0082"/>
        <s v="ORD0083"/>
        <s v="ORD0084"/>
        <s v="ORD0085"/>
        <s v="ORD0086"/>
        <s v="ORD0087"/>
        <s v="ORD0088"/>
        <s v="ORD0089"/>
        <s v="ORD0090"/>
        <s v="ORD0091"/>
        <s v="ORD0092"/>
        <s v="ORD0093"/>
        <s v="ORD0094"/>
        <s v="ORD0095"/>
        <s v="ORD0096"/>
        <s v="ORD0097"/>
        <s v="ORD0098"/>
        <s v="ORD0099"/>
        <s v="ORD0100"/>
        <s v="ORD0101"/>
        <s v="ORD0102"/>
        <s v="ORD0103"/>
        <s v="ORD0104"/>
        <s v="ORD0105"/>
        <s v="ORD0106"/>
        <s v="ORD0107"/>
        <s v="ORD0108"/>
        <s v="ORD0109"/>
        <s v="ORD0110"/>
        <s v="ORD0111"/>
        <s v="ORD0112"/>
        <s v="ORD0113"/>
        <s v="ORD0114"/>
        <s v="ORD0115"/>
        <s v="ORD0116"/>
        <s v="ORD0117"/>
        <s v="ORD0118"/>
        <s v="ORD0119"/>
        <s v="ORD0120"/>
        <s v="ORD0121"/>
        <s v="ORD0122"/>
        <s v="ORD0123"/>
        <s v="ORD0124"/>
        <s v="ORD0125"/>
        <s v="ORD0126"/>
        <s v="ORD0127"/>
        <s v="ORD0128"/>
        <s v="ORD0129"/>
        <s v="ORD0130"/>
        <s v="ORD0131"/>
        <s v="ORD0132"/>
        <s v="ORD0133"/>
        <s v="ORD0134"/>
        <s v="ORD0135"/>
        <s v="ORD0136"/>
        <s v="ORD0137"/>
        <s v="ORD0138"/>
        <s v="ORD0139"/>
        <s v="ORD0140"/>
        <s v="ORD0141"/>
        <s v="ORD0142"/>
        <s v="ORD0143"/>
        <s v="ORD0144"/>
        <s v="ORD0145"/>
        <s v="ORD0146"/>
        <s v="ORD0147"/>
        <s v="ORD0148"/>
        <s v="ORD0149"/>
        <s v="ORD0150"/>
        <s v="ORD0151"/>
        <s v="ORD0152"/>
        <s v="ORD0153"/>
        <s v="ORD0154"/>
        <s v="ORD0155"/>
        <s v="ORD0156"/>
        <s v="ORD0157"/>
        <s v="ORD0158"/>
        <s v="ORD0159"/>
        <s v="ORD0160"/>
        <s v="ORD0161"/>
        <s v="ORD0162"/>
        <s v="ORD0163"/>
        <s v="ORD0164"/>
        <s v="ORD0165"/>
        <s v="ORD0166"/>
        <s v="ORD0167"/>
        <s v="ORD0168"/>
        <s v="ORD0169"/>
        <s v="ORD0170"/>
        <s v="ORD0171"/>
        <s v="ORD0172"/>
        <s v="ORD0173"/>
        <s v="ORD0174"/>
        <s v="ORD0175"/>
        <s v="ORD0176"/>
        <s v="ORD0177"/>
        <s v="ORD0178"/>
        <s v="ORD0179"/>
        <s v="ORD0180"/>
      </sharedItems>
    </cacheField>
    <cacheField name="month_num" numFmtId="0">
      <sharedItems containsSemiMixedTypes="0" containsString="0" containsNumber="1" containsInteger="1" minValue="1" maxValue="12" count="12">
        <n v="3"/>
        <n v="10"/>
        <n v="8"/>
        <n v="4"/>
        <n v="1"/>
        <n v="12"/>
        <n v="6"/>
        <n v="7"/>
        <n v="5"/>
        <n v="11"/>
        <n v="2"/>
        <n v="9"/>
      </sharedItems>
    </cacheField>
    <cacheField name="Month" numFmtId="0">
      <sharedItems count="12">
        <s v="March"/>
        <s v="October"/>
        <s v="August"/>
        <s v="April"/>
        <s v="January"/>
        <s v="December"/>
        <s v="June"/>
        <s v="July"/>
        <s v="May"/>
        <s v="November"/>
        <s v="February"/>
        <s v="September"/>
      </sharedItems>
    </cacheField>
    <cacheField name="Date" numFmtId="14">
      <sharedItems containsSemiMixedTypes="0" containsNonDate="0" containsDate="1" containsString="0" minDate="2026-01-04T00:00:00" maxDate="2027-01-01T00:00:00"/>
    </cacheField>
    <cacheField name="Region" numFmtId="0">
      <sharedItems count="4">
        <s v="North"/>
        <s v="South"/>
        <s v="East"/>
        <s v="West"/>
      </sharedItems>
    </cacheField>
    <cacheField name="Customer" numFmtId="0">
      <sharedItems count="30">
        <s v="Customer 27"/>
        <s v="Customer 02"/>
        <s v="Customer 18"/>
        <s v="Customer 19"/>
        <s v="Customer 10"/>
        <s v="Customer 04"/>
        <s v="Customer 22"/>
        <s v="Customer 17"/>
        <s v="Customer 20"/>
        <s v="Customer 16"/>
        <s v="Customer 24"/>
        <s v="Customer 15"/>
        <s v="Customer 23"/>
        <s v="Customer 03"/>
        <s v="Customer 21"/>
        <s v="Customer 06"/>
        <s v="Customer 07"/>
        <s v="Customer 25"/>
        <s v="Customer 09"/>
        <s v="Customer 26"/>
        <s v="Customer 29"/>
        <s v="Customer 05"/>
        <s v="Customer 14"/>
        <s v="Customer 28"/>
        <s v="Customer 13"/>
        <s v="Customer 30"/>
        <s v="Customer 12"/>
        <s v="Customer 08"/>
        <s v="Customer 11"/>
        <s v="Customer 01"/>
      </sharedItems>
    </cacheField>
    <cacheField name="Product_ID" numFmtId="0">
      <sharedItems/>
    </cacheField>
    <cacheField name="Product" numFmtId="0">
      <sharedItems count="10">
        <s v="Pasta"/>
        <s v="Apples"/>
        <s v="Milk"/>
        <s v="Eggs"/>
        <s v="Bread"/>
        <s v="Tea"/>
        <s v="Coffee"/>
        <s v="Bananas"/>
        <s v="Rice"/>
        <s v="Chicken"/>
      </sharedItems>
    </cacheField>
    <cacheField name="Category" numFmtId="0">
      <sharedItems count="6">
        <s v="Grocery"/>
        <s v="Produce"/>
        <s v="Dairy"/>
        <s v="Bakery"/>
        <s v="Beverages"/>
        <s v="Meat"/>
      </sharedItems>
    </cacheField>
    <cacheField name="Unit_Price" numFmtId="0">
      <sharedItems containsSemiMixedTypes="0" containsString="0" containsNumber="1" minValue="1.2" maxValue="6.5"/>
    </cacheField>
    <cacheField name="Quantity" numFmtId="0">
      <sharedItems containsSemiMixedTypes="0" containsString="0" containsNumber="1" containsInteger="1" minValue="1" maxValue="12"/>
    </cacheField>
    <cacheField name="Discount" numFmtId="0">
      <sharedItems containsSemiMixedTypes="0" containsString="0" containsNumber="1" minValue="0" maxValue="0.1"/>
    </cacheField>
    <cacheField name="Sales" numFmtId="0">
      <sharedItems containsSemiMixedTypes="0" containsString="0" containsNumber="1" minValue="1.2" maxValue="78"/>
    </cacheField>
    <cacheField name="Cost" numFmtId="0">
      <sharedItems containsSemiMixedTypes="0" containsString="0" containsNumber="1" minValue="0.9" maxValue="63.96"/>
    </cacheField>
    <cacheField name="Profit" numFmtId="0">
      <sharedItems containsSemiMixedTypes="0" containsString="0" containsNumber="1" minValue="0.18" maxValue="16.34"/>
    </cacheField>
    <cacheField name="Channel" numFmtId="0">
      <sharedItems count="2">
        <s v="Store"/>
        <s v="Online"/>
      </sharedItems>
    </cacheField>
  </cacheFields>
  <extLst>
    <ext xmlns:x14="http://schemas.microsoft.com/office/spreadsheetml/2009/9/main" uri="{725AE2AE-9491-48be-B2B4-4EB974FC3084}">
      <x14:pivotCacheDefinition pivotCacheId="6040071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0">
  <r>
    <x v="0"/>
    <x v="0"/>
    <x v="0"/>
    <d v="2026-03-19T00:00:00"/>
    <x v="0"/>
    <x v="0"/>
    <s v="P006"/>
    <x v="0"/>
    <x v="0"/>
    <n v="1.8"/>
    <n v="7"/>
    <n v="0"/>
    <n v="12.6"/>
    <n v="9.07"/>
    <n v="3.53"/>
    <x v="0"/>
  </r>
  <r>
    <x v="1"/>
    <x v="1"/>
    <x v="1"/>
    <d v="2026-10-26T00:00:00"/>
    <x v="1"/>
    <x v="1"/>
    <s v="P006"/>
    <x v="0"/>
    <x v="0"/>
    <n v="1.8"/>
    <n v="1"/>
    <n v="0.1"/>
    <n v="1.62"/>
    <n v="1.3"/>
    <n v="0.32"/>
    <x v="0"/>
  </r>
  <r>
    <x v="2"/>
    <x v="2"/>
    <x v="2"/>
    <d v="2026-08-03T00:00:00"/>
    <x v="0"/>
    <x v="2"/>
    <s v="P007"/>
    <x v="1"/>
    <x v="1"/>
    <n v="2.5"/>
    <n v="2"/>
    <n v="0"/>
    <n v="5"/>
    <n v="3.5"/>
    <n v="1.5"/>
    <x v="1"/>
  </r>
  <r>
    <x v="3"/>
    <x v="1"/>
    <x v="1"/>
    <d v="2026-10-17T00:00:00"/>
    <x v="0"/>
    <x v="3"/>
    <s v="P001"/>
    <x v="2"/>
    <x v="2"/>
    <n v="1.5"/>
    <n v="2"/>
    <n v="0"/>
    <n v="3"/>
    <n v="2.34"/>
    <n v="0.66"/>
    <x v="1"/>
  </r>
  <r>
    <x v="4"/>
    <x v="3"/>
    <x v="3"/>
    <d v="2026-04-24T00:00:00"/>
    <x v="1"/>
    <x v="4"/>
    <s v="P001"/>
    <x v="2"/>
    <x v="2"/>
    <n v="1.5"/>
    <n v="1"/>
    <n v="0.1"/>
    <n v="1.35"/>
    <n v="1.17"/>
    <n v="0.18"/>
    <x v="1"/>
  </r>
  <r>
    <x v="5"/>
    <x v="1"/>
    <x v="1"/>
    <d v="2026-10-04T00:00:00"/>
    <x v="2"/>
    <x v="2"/>
    <s v="P003"/>
    <x v="3"/>
    <x v="2"/>
    <n v="2.8"/>
    <n v="2"/>
    <n v="0.1"/>
    <n v="5.04"/>
    <n v="4.4800000000000004"/>
    <n v="0.56000000000000005"/>
    <x v="0"/>
  </r>
  <r>
    <x v="6"/>
    <x v="1"/>
    <x v="1"/>
    <d v="2026-10-25T00:00:00"/>
    <x v="2"/>
    <x v="5"/>
    <s v="P002"/>
    <x v="4"/>
    <x v="3"/>
    <n v="1.2"/>
    <n v="10"/>
    <n v="0"/>
    <n v="12"/>
    <n v="9"/>
    <n v="3"/>
    <x v="0"/>
  </r>
  <r>
    <x v="7"/>
    <x v="4"/>
    <x v="4"/>
    <d v="2026-01-31T00:00:00"/>
    <x v="3"/>
    <x v="6"/>
    <s v="P010"/>
    <x v="5"/>
    <x v="4"/>
    <n v="3.8"/>
    <n v="10"/>
    <n v="0"/>
    <n v="38"/>
    <n v="26.98"/>
    <n v="11.02"/>
    <x v="1"/>
  </r>
  <r>
    <x v="8"/>
    <x v="2"/>
    <x v="2"/>
    <d v="2026-08-27T00:00:00"/>
    <x v="2"/>
    <x v="4"/>
    <s v="P006"/>
    <x v="0"/>
    <x v="0"/>
    <n v="1.8"/>
    <n v="10"/>
    <n v="0.05"/>
    <n v="17.100000000000001"/>
    <n v="12.96"/>
    <n v="4.1399999999999997"/>
    <x v="0"/>
  </r>
  <r>
    <x v="9"/>
    <x v="5"/>
    <x v="5"/>
    <d v="2026-12-24T00:00:00"/>
    <x v="2"/>
    <x v="7"/>
    <s v="P003"/>
    <x v="3"/>
    <x v="2"/>
    <n v="2.8"/>
    <n v="4"/>
    <n v="0"/>
    <n v="11.2"/>
    <n v="8.9600000000000009"/>
    <n v="2.2400000000000002"/>
    <x v="1"/>
  </r>
  <r>
    <x v="10"/>
    <x v="2"/>
    <x v="2"/>
    <d v="2026-08-18T00:00:00"/>
    <x v="0"/>
    <x v="5"/>
    <s v="P006"/>
    <x v="0"/>
    <x v="0"/>
    <n v="1.8"/>
    <n v="5"/>
    <n v="0.1"/>
    <n v="8.1"/>
    <n v="6.48"/>
    <n v="1.62"/>
    <x v="1"/>
  </r>
  <r>
    <x v="11"/>
    <x v="6"/>
    <x v="6"/>
    <d v="2026-06-25T00:00:00"/>
    <x v="3"/>
    <x v="1"/>
    <s v="P003"/>
    <x v="3"/>
    <x v="2"/>
    <n v="2.8"/>
    <n v="3"/>
    <n v="0.05"/>
    <n v="7.98"/>
    <n v="6.72"/>
    <n v="1.26"/>
    <x v="0"/>
  </r>
  <r>
    <x v="12"/>
    <x v="1"/>
    <x v="1"/>
    <d v="2026-10-21T00:00:00"/>
    <x v="2"/>
    <x v="8"/>
    <s v="P009"/>
    <x v="6"/>
    <x v="4"/>
    <n v="5.5"/>
    <n v="6"/>
    <n v="0"/>
    <n v="33"/>
    <n v="24.09"/>
    <n v="8.91"/>
    <x v="1"/>
  </r>
  <r>
    <x v="13"/>
    <x v="2"/>
    <x v="2"/>
    <d v="2026-08-22T00:00:00"/>
    <x v="2"/>
    <x v="9"/>
    <s v="P010"/>
    <x v="5"/>
    <x v="4"/>
    <n v="3.8"/>
    <n v="2"/>
    <n v="0"/>
    <n v="7.6"/>
    <n v="5.4"/>
    <n v="2.2000000000000002"/>
    <x v="0"/>
  </r>
  <r>
    <x v="14"/>
    <x v="5"/>
    <x v="5"/>
    <d v="2026-12-26T00:00:00"/>
    <x v="3"/>
    <x v="4"/>
    <s v="P001"/>
    <x v="2"/>
    <x v="2"/>
    <n v="1.5"/>
    <n v="5"/>
    <n v="0.1"/>
    <n v="6.75"/>
    <n v="5.85"/>
    <n v="0.9"/>
    <x v="1"/>
  </r>
  <r>
    <x v="15"/>
    <x v="4"/>
    <x v="4"/>
    <d v="2026-01-12T00:00:00"/>
    <x v="1"/>
    <x v="8"/>
    <s v="P006"/>
    <x v="0"/>
    <x v="0"/>
    <n v="1.8"/>
    <n v="8"/>
    <n v="0"/>
    <n v="14.4"/>
    <n v="10.37"/>
    <n v="4.03"/>
    <x v="0"/>
  </r>
  <r>
    <x v="16"/>
    <x v="4"/>
    <x v="4"/>
    <d v="2026-01-31T00:00:00"/>
    <x v="1"/>
    <x v="10"/>
    <s v="P008"/>
    <x v="7"/>
    <x v="1"/>
    <n v="1.4"/>
    <n v="4"/>
    <n v="0"/>
    <n v="5.6"/>
    <n v="3.81"/>
    <n v="1.79"/>
    <x v="0"/>
  </r>
  <r>
    <x v="17"/>
    <x v="7"/>
    <x v="7"/>
    <d v="2026-07-20T00:00:00"/>
    <x v="1"/>
    <x v="11"/>
    <s v="P007"/>
    <x v="1"/>
    <x v="1"/>
    <n v="2.5"/>
    <n v="8"/>
    <n v="0"/>
    <n v="20"/>
    <n v="14"/>
    <n v="6"/>
    <x v="1"/>
  </r>
  <r>
    <x v="18"/>
    <x v="8"/>
    <x v="8"/>
    <d v="2026-05-23T00:00:00"/>
    <x v="2"/>
    <x v="12"/>
    <s v="P009"/>
    <x v="6"/>
    <x v="4"/>
    <n v="5.5"/>
    <n v="3"/>
    <n v="0.05"/>
    <n v="15.67"/>
    <n v="12.04"/>
    <n v="3.63"/>
    <x v="1"/>
  </r>
  <r>
    <x v="19"/>
    <x v="5"/>
    <x v="5"/>
    <d v="2026-12-16T00:00:00"/>
    <x v="1"/>
    <x v="13"/>
    <s v="P006"/>
    <x v="0"/>
    <x v="0"/>
    <n v="1.8"/>
    <n v="7"/>
    <n v="0"/>
    <n v="12.6"/>
    <n v="9.07"/>
    <n v="3.53"/>
    <x v="0"/>
  </r>
  <r>
    <x v="20"/>
    <x v="3"/>
    <x v="3"/>
    <d v="2026-04-29T00:00:00"/>
    <x v="0"/>
    <x v="9"/>
    <s v="P003"/>
    <x v="3"/>
    <x v="2"/>
    <n v="2.8"/>
    <n v="11"/>
    <n v="0"/>
    <n v="30.8"/>
    <n v="24.64"/>
    <n v="6.16"/>
    <x v="0"/>
  </r>
  <r>
    <x v="21"/>
    <x v="8"/>
    <x v="8"/>
    <d v="2026-05-25T00:00:00"/>
    <x v="3"/>
    <x v="2"/>
    <s v="P005"/>
    <x v="8"/>
    <x v="0"/>
    <n v="3.2"/>
    <n v="1"/>
    <n v="0"/>
    <n v="3.2"/>
    <n v="2.4300000000000002"/>
    <n v="0.77"/>
    <x v="1"/>
  </r>
  <r>
    <x v="22"/>
    <x v="1"/>
    <x v="1"/>
    <d v="2026-10-17T00:00:00"/>
    <x v="0"/>
    <x v="11"/>
    <s v="P010"/>
    <x v="5"/>
    <x v="4"/>
    <n v="3.8"/>
    <n v="6"/>
    <n v="0"/>
    <n v="22.8"/>
    <n v="16.190000000000001"/>
    <n v="6.61"/>
    <x v="1"/>
  </r>
  <r>
    <x v="23"/>
    <x v="7"/>
    <x v="7"/>
    <d v="2026-07-24T00:00:00"/>
    <x v="3"/>
    <x v="14"/>
    <s v="P007"/>
    <x v="1"/>
    <x v="1"/>
    <n v="2.5"/>
    <n v="7"/>
    <n v="0"/>
    <n v="17.5"/>
    <n v="12.25"/>
    <n v="5.25"/>
    <x v="1"/>
  </r>
  <r>
    <x v="24"/>
    <x v="3"/>
    <x v="3"/>
    <d v="2026-04-08T00:00:00"/>
    <x v="3"/>
    <x v="15"/>
    <s v="P001"/>
    <x v="2"/>
    <x v="2"/>
    <n v="1.5"/>
    <n v="2"/>
    <n v="0"/>
    <n v="3"/>
    <n v="2.34"/>
    <n v="0.66"/>
    <x v="0"/>
  </r>
  <r>
    <x v="25"/>
    <x v="9"/>
    <x v="9"/>
    <d v="2026-11-04T00:00:00"/>
    <x v="0"/>
    <x v="3"/>
    <s v="P006"/>
    <x v="0"/>
    <x v="0"/>
    <n v="1.8"/>
    <n v="1"/>
    <n v="0"/>
    <n v="1.8"/>
    <n v="1.3"/>
    <n v="0.5"/>
    <x v="0"/>
  </r>
  <r>
    <x v="26"/>
    <x v="10"/>
    <x v="10"/>
    <d v="2026-02-21T00:00:00"/>
    <x v="0"/>
    <x v="13"/>
    <s v="P009"/>
    <x v="6"/>
    <x v="4"/>
    <n v="5.5"/>
    <n v="6"/>
    <n v="0.1"/>
    <n v="29.7"/>
    <n v="24.09"/>
    <n v="5.61"/>
    <x v="0"/>
  </r>
  <r>
    <x v="27"/>
    <x v="7"/>
    <x v="7"/>
    <d v="2026-07-12T00:00:00"/>
    <x v="2"/>
    <x v="8"/>
    <s v="P010"/>
    <x v="5"/>
    <x v="4"/>
    <n v="3.8"/>
    <n v="3"/>
    <n v="0"/>
    <n v="11.4"/>
    <n v="8.09"/>
    <n v="3.31"/>
    <x v="1"/>
  </r>
  <r>
    <x v="28"/>
    <x v="0"/>
    <x v="0"/>
    <d v="2026-03-04T00:00:00"/>
    <x v="3"/>
    <x v="9"/>
    <s v="P008"/>
    <x v="7"/>
    <x v="1"/>
    <n v="1.4"/>
    <n v="2"/>
    <n v="0.05"/>
    <n v="2.66"/>
    <n v="1.9"/>
    <n v="0.76"/>
    <x v="1"/>
  </r>
  <r>
    <x v="29"/>
    <x v="10"/>
    <x v="10"/>
    <d v="2026-02-13T00:00:00"/>
    <x v="2"/>
    <x v="10"/>
    <s v="P005"/>
    <x v="8"/>
    <x v="0"/>
    <n v="3.2"/>
    <n v="3"/>
    <n v="0"/>
    <n v="9.6"/>
    <n v="7.3"/>
    <n v="2.2999999999999998"/>
    <x v="1"/>
  </r>
  <r>
    <x v="30"/>
    <x v="5"/>
    <x v="5"/>
    <d v="2026-12-21T00:00:00"/>
    <x v="0"/>
    <x v="16"/>
    <s v="P008"/>
    <x v="7"/>
    <x v="1"/>
    <n v="1.4"/>
    <n v="3"/>
    <n v="0.1"/>
    <n v="3.78"/>
    <n v="2.86"/>
    <n v="0.92"/>
    <x v="1"/>
  </r>
  <r>
    <x v="31"/>
    <x v="5"/>
    <x v="5"/>
    <d v="2026-12-20T00:00:00"/>
    <x v="2"/>
    <x v="14"/>
    <s v="P003"/>
    <x v="3"/>
    <x v="2"/>
    <n v="2.8"/>
    <n v="9"/>
    <n v="0"/>
    <n v="25.2"/>
    <n v="20.16"/>
    <n v="5.04"/>
    <x v="0"/>
  </r>
  <r>
    <x v="32"/>
    <x v="11"/>
    <x v="11"/>
    <d v="2026-09-23T00:00:00"/>
    <x v="2"/>
    <x v="17"/>
    <s v="P005"/>
    <x v="8"/>
    <x v="0"/>
    <n v="3.2"/>
    <n v="6"/>
    <n v="0"/>
    <n v="19.2"/>
    <n v="14.59"/>
    <n v="4.6100000000000003"/>
    <x v="0"/>
  </r>
  <r>
    <x v="33"/>
    <x v="1"/>
    <x v="1"/>
    <d v="2026-10-05T00:00:00"/>
    <x v="1"/>
    <x v="8"/>
    <s v="P009"/>
    <x v="6"/>
    <x v="4"/>
    <n v="5.5"/>
    <n v="9"/>
    <n v="0"/>
    <n v="49.5"/>
    <n v="36.130000000000003"/>
    <n v="13.37"/>
    <x v="0"/>
  </r>
  <r>
    <x v="34"/>
    <x v="7"/>
    <x v="7"/>
    <d v="2026-07-25T00:00:00"/>
    <x v="1"/>
    <x v="7"/>
    <s v="P004"/>
    <x v="9"/>
    <x v="5"/>
    <n v="6.5"/>
    <n v="12"/>
    <n v="0"/>
    <n v="78"/>
    <n v="63.96"/>
    <n v="14.04"/>
    <x v="1"/>
  </r>
  <r>
    <x v="35"/>
    <x v="4"/>
    <x v="4"/>
    <d v="2026-01-15T00:00:00"/>
    <x v="3"/>
    <x v="18"/>
    <s v="P006"/>
    <x v="0"/>
    <x v="0"/>
    <n v="1.8"/>
    <n v="1"/>
    <n v="0"/>
    <n v="1.8"/>
    <n v="1.3"/>
    <n v="0.5"/>
    <x v="0"/>
  </r>
  <r>
    <x v="36"/>
    <x v="6"/>
    <x v="6"/>
    <d v="2026-06-26T00:00:00"/>
    <x v="2"/>
    <x v="13"/>
    <s v="P010"/>
    <x v="5"/>
    <x v="4"/>
    <n v="3.8"/>
    <n v="8"/>
    <n v="0"/>
    <n v="30.4"/>
    <n v="21.58"/>
    <n v="8.82"/>
    <x v="0"/>
  </r>
  <r>
    <x v="37"/>
    <x v="3"/>
    <x v="3"/>
    <d v="2026-04-27T00:00:00"/>
    <x v="2"/>
    <x v="16"/>
    <s v="P002"/>
    <x v="4"/>
    <x v="3"/>
    <n v="1.2"/>
    <n v="8"/>
    <n v="0"/>
    <n v="9.6"/>
    <n v="7.2"/>
    <n v="2.4"/>
    <x v="1"/>
  </r>
  <r>
    <x v="38"/>
    <x v="9"/>
    <x v="9"/>
    <d v="2026-11-09T00:00:00"/>
    <x v="2"/>
    <x v="19"/>
    <s v="P010"/>
    <x v="5"/>
    <x v="4"/>
    <n v="3.8"/>
    <n v="1"/>
    <n v="0.05"/>
    <n v="3.61"/>
    <n v="2.7"/>
    <n v="0.91"/>
    <x v="0"/>
  </r>
  <r>
    <x v="39"/>
    <x v="7"/>
    <x v="7"/>
    <d v="2026-07-18T00:00:00"/>
    <x v="3"/>
    <x v="20"/>
    <s v="P002"/>
    <x v="4"/>
    <x v="3"/>
    <n v="1.2"/>
    <n v="12"/>
    <n v="0"/>
    <n v="14.4"/>
    <n v="10.8"/>
    <n v="3.6"/>
    <x v="0"/>
  </r>
  <r>
    <x v="40"/>
    <x v="9"/>
    <x v="9"/>
    <d v="2026-11-22T00:00:00"/>
    <x v="3"/>
    <x v="11"/>
    <s v="P007"/>
    <x v="1"/>
    <x v="1"/>
    <n v="2.5"/>
    <n v="6"/>
    <n v="0"/>
    <n v="15"/>
    <n v="10.5"/>
    <n v="4.5"/>
    <x v="1"/>
  </r>
  <r>
    <x v="41"/>
    <x v="0"/>
    <x v="0"/>
    <d v="2026-03-23T00:00:00"/>
    <x v="0"/>
    <x v="21"/>
    <s v="P002"/>
    <x v="4"/>
    <x v="3"/>
    <n v="1.2"/>
    <n v="3"/>
    <n v="0"/>
    <n v="3.6"/>
    <n v="2.7"/>
    <n v="0.9"/>
    <x v="1"/>
  </r>
  <r>
    <x v="42"/>
    <x v="9"/>
    <x v="9"/>
    <d v="2026-11-10T00:00:00"/>
    <x v="2"/>
    <x v="21"/>
    <s v="P003"/>
    <x v="3"/>
    <x v="2"/>
    <n v="2.8"/>
    <n v="10"/>
    <n v="0.05"/>
    <n v="26.6"/>
    <n v="22.4"/>
    <n v="4.2"/>
    <x v="0"/>
  </r>
  <r>
    <x v="43"/>
    <x v="4"/>
    <x v="4"/>
    <d v="2026-01-08T00:00:00"/>
    <x v="1"/>
    <x v="22"/>
    <s v="P001"/>
    <x v="2"/>
    <x v="2"/>
    <n v="1.5"/>
    <n v="12"/>
    <n v="0"/>
    <n v="18"/>
    <n v="14.04"/>
    <n v="3.96"/>
    <x v="0"/>
  </r>
  <r>
    <x v="44"/>
    <x v="4"/>
    <x v="4"/>
    <d v="2026-01-15T00:00:00"/>
    <x v="2"/>
    <x v="7"/>
    <s v="P004"/>
    <x v="9"/>
    <x v="5"/>
    <n v="6.5"/>
    <n v="5"/>
    <n v="0"/>
    <n v="32.5"/>
    <n v="26.65"/>
    <n v="5.85"/>
    <x v="0"/>
  </r>
  <r>
    <x v="45"/>
    <x v="6"/>
    <x v="6"/>
    <d v="2026-06-16T00:00:00"/>
    <x v="3"/>
    <x v="0"/>
    <s v="P010"/>
    <x v="5"/>
    <x v="4"/>
    <n v="3.8"/>
    <n v="5"/>
    <n v="0.1"/>
    <n v="17.100000000000001"/>
    <n v="13.49"/>
    <n v="3.61"/>
    <x v="0"/>
  </r>
  <r>
    <x v="46"/>
    <x v="7"/>
    <x v="7"/>
    <d v="2026-07-01T00:00:00"/>
    <x v="3"/>
    <x v="0"/>
    <s v="P001"/>
    <x v="2"/>
    <x v="2"/>
    <n v="1.5"/>
    <n v="8"/>
    <n v="0.1"/>
    <n v="10.8"/>
    <n v="9.36"/>
    <n v="1.44"/>
    <x v="0"/>
  </r>
  <r>
    <x v="47"/>
    <x v="0"/>
    <x v="0"/>
    <d v="2026-03-19T00:00:00"/>
    <x v="0"/>
    <x v="23"/>
    <s v="P009"/>
    <x v="6"/>
    <x v="4"/>
    <n v="5.5"/>
    <n v="9"/>
    <n v="0.1"/>
    <n v="44.55"/>
    <n v="36.130000000000003"/>
    <n v="8.42"/>
    <x v="1"/>
  </r>
  <r>
    <x v="48"/>
    <x v="9"/>
    <x v="9"/>
    <d v="2026-11-08T00:00:00"/>
    <x v="1"/>
    <x v="21"/>
    <s v="P003"/>
    <x v="3"/>
    <x v="2"/>
    <n v="2.8"/>
    <n v="1"/>
    <n v="0"/>
    <n v="2.8"/>
    <n v="2.2400000000000002"/>
    <n v="0.56000000000000005"/>
    <x v="1"/>
  </r>
  <r>
    <x v="49"/>
    <x v="0"/>
    <x v="0"/>
    <d v="2026-03-03T00:00:00"/>
    <x v="2"/>
    <x v="6"/>
    <s v="P010"/>
    <x v="5"/>
    <x v="4"/>
    <n v="3.8"/>
    <n v="9"/>
    <n v="0"/>
    <n v="34.200000000000003"/>
    <n v="24.28"/>
    <n v="9.92"/>
    <x v="1"/>
  </r>
  <r>
    <x v="50"/>
    <x v="1"/>
    <x v="1"/>
    <d v="2026-10-14T00:00:00"/>
    <x v="1"/>
    <x v="18"/>
    <s v="P002"/>
    <x v="4"/>
    <x v="3"/>
    <n v="1.2"/>
    <n v="1"/>
    <n v="0"/>
    <n v="1.2"/>
    <n v="0.9"/>
    <n v="0.3"/>
    <x v="0"/>
  </r>
  <r>
    <x v="51"/>
    <x v="11"/>
    <x v="11"/>
    <d v="2026-09-17T00:00:00"/>
    <x v="0"/>
    <x v="17"/>
    <s v="P002"/>
    <x v="4"/>
    <x v="3"/>
    <n v="1.2"/>
    <n v="8"/>
    <n v="0.1"/>
    <n v="8.64"/>
    <n v="7.2"/>
    <n v="1.44"/>
    <x v="0"/>
  </r>
  <r>
    <x v="52"/>
    <x v="6"/>
    <x v="6"/>
    <d v="2026-06-16T00:00:00"/>
    <x v="1"/>
    <x v="12"/>
    <s v="P008"/>
    <x v="7"/>
    <x v="1"/>
    <n v="1.4"/>
    <n v="10"/>
    <n v="0.1"/>
    <n v="12.6"/>
    <n v="9.52"/>
    <n v="3.08"/>
    <x v="1"/>
  </r>
  <r>
    <x v="53"/>
    <x v="11"/>
    <x v="11"/>
    <d v="2026-09-18T00:00:00"/>
    <x v="1"/>
    <x v="12"/>
    <s v="P008"/>
    <x v="7"/>
    <x v="1"/>
    <n v="1.4"/>
    <n v="9"/>
    <n v="0.05"/>
    <n v="11.97"/>
    <n v="8.57"/>
    <n v="3.4"/>
    <x v="1"/>
  </r>
  <r>
    <x v="54"/>
    <x v="3"/>
    <x v="3"/>
    <d v="2026-04-14T00:00:00"/>
    <x v="3"/>
    <x v="5"/>
    <s v="P009"/>
    <x v="6"/>
    <x v="4"/>
    <n v="5.5"/>
    <n v="8"/>
    <n v="0"/>
    <n v="44"/>
    <n v="32.119999999999997"/>
    <n v="11.88"/>
    <x v="1"/>
  </r>
  <r>
    <x v="55"/>
    <x v="6"/>
    <x v="6"/>
    <d v="2026-06-11T00:00:00"/>
    <x v="3"/>
    <x v="13"/>
    <s v="P008"/>
    <x v="7"/>
    <x v="1"/>
    <n v="1.4"/>
    <n v="2"/>
    <n v="0"/>
    <n v="2.8"/>
    <n v="1.9"/>
    <n v="0.9"/>
    <x v="0"/>
  </r>
  <r>
    <x v="56"/>
    <x v="0"/>
    <x v="0"/>
    <d v="2026-03-04T00:00:00"/>
    <x v="1"/>
    <x v="18"/>
    <s v="P005"/>
    <x v="8"/>
    <x v="0"/>
    <n v="3.2"/>
    <n v="3"/>
    <n v="0"/>
    <n v="9.6"/>
    <n v="7.3"/>
    <n v="2.2999999999999998"/>
    <x v="0"/>
  </r>
  <r>
    <x v="57"/>
    <x v="3"/>
    <x v="3"/>
    <d v="2026-04-23T00:00:00"/>
    <x v="3"/>
    <x v="20"/>
    <s v="P008"/>
    <x v="7"/>
    <x v="1"/>
    <n v="1.4"/>
    <n v="12"/>
    <n v="0"/>
    <n v="16.8"/>
    <n v="11.42"/>
    <n v="5.38"/>
    <x v="1"/>
  </r>
  <r>
    <x v="58"/>
    <x v="5"/>
    <x v="5"/>
    <d v="2026-12-08T00:00:00"/>
    <x v="3"/>
    <x v="7"/>
    <s v="P003"/>
    <x v="3"/>
    <x v="2"/>
    <n v="2.8"/>
    <n v="4"/>
    <n v="0"/>
    <n v="11.2"/>
    <n v="8.9600000000000009"/>
    <n v="2.2400000000000002"/>
    <x v="1"/>
  </r>
  <r>
    <x v="59"/>
    <x v="2"/>
    <x v="2"/>
    <d v="2026-08-04T00:00:00"/>
    <x v="2"/>
    <x v="13"/>
    <s v="P006"/>
    <x v="0"/>
    <x v="0"/>
    <n v="1.8"/>
    <n v="4"/>
    <n v="0"/>
    <n v="7.2"/>
    <n v="5.18"/>
    <n v="2.02"/>
    <x v="1"/>
  </r>
  <r>
    <x v="60"/>
    <x v="6"/>
    <x v="6"/>
    <d v="2026-06-23T00:00:00"/>
    <x v="3"/>
    <x v="12"/>
    <s v="P001"/>
    <x v="2"/>
    <x v="2"/>
    <n v="1.5"/>
    <n v="9"/>
    <n v="0.05"/>
    <n v="12.82"/>
    <n v="10.53"/>
    <n v="2.29"/>
    <x v="0"/>
  </r>
  <r>
    <x v="61"/>
    <x v="6"/>
    <x v="6"/>
    <d v="2026-06-19T00:00:00"/>
    <x v="2"/>
    <x v="7"/>
    <s v="P007"/>
    <x v="1"/>
    <x v="1"/>
    <n v="2.5"/>
    <n v="9"/>
    <n v="0.1"/>
    <n v="20.25"/>
    <n v="15.75"/>
    <n v="4.5"/>
    <x v="0"/>
  </r>
  <r>
    <x v="62"/>
    <x v="3"/>
    <x v="3"/>
    <d v="2026-04-28T00:00:00"/>
    <x v="2"/>
    <x v="18"/>
    <s v="P002"/>
    <x v="4"/>
    <x v="3"/>
    <n v="1.2"/>
    <n v="2"/>
    <n v="0"/>
    <n v="2.4"/>
    <n v="1.8"/>
    <n v="0.6"/>
    <x v="0"/>
  </r>
  <r>
    <x v="63"/>
    <x v="8"/>
    <x v="8"/>
    <d v="2026-05-19T00:00:00"/>
    <x v="2"/>
    <x v="24"/>
    <s v="P003"/>
    <x v="3"/>
    <x v="2"/>
    <n v="2.8"/>
    <n v="3"/>
    <n v="0.05"/>
    <n v="7.98"/>
    <n v="6.72"/>
    <n v="1.26"/>
    <x v="0"/>
  </r>
  <r>
    <x v="64"/>
    <x v="11"/>
    <x v="11"/>
    <d v="2026-09-21T00:00:00"/>
    <x v="2"/>
    <x v="13"/>
    <s v="P009"/>
    <x v="6"/>
    <x v="4"/>
    <n v="5.5"/>
    <n v="10"/>
    <n v="0.05"/>
    <n v="52.25"/>
    <n v="40.15"/>
    <n v="12.1"/>
    <x v="1"/>
  </r>
  <r>
    <x v="65"/>
    <x v="5"/>
    <x v="5"/>
    <d v="2026-12-19T00:00:00"/>
    <x v="0"/>
    <x v="18"/>
    <s v="P001"/>
    <x v="2"/>
    <x v="2"/>
    <n v="1.5"/>
    <n v="3"/>
    <n v="0.05"/>
    <n v="4.2699999999999996"/>
    <n v="3.51"/>
    <n v="0.76"/>
    <x v="0"/>
  </r>
  <r>
    <x v="66"/>
    <x v="8"/>
    <x v="8"/>
    <d v="2026-05-14T00:00:00"/>
    <x v="1"/>
    <x v="13"/>
    <s v="P002"/>
    <x v="4"/>
    <x v="3"/>
    <n v="1.2"/>
    <n v="2"/>
    <n v="0.1"/>
    <n v="2.16"/>
    <n v="1.8"/>
    <n v="0.36"/>
    <x v="1"/>
  </r>
  <r>
    <x v="67"/>
    <x v="2"/>
    <x v="2"/>
    <d v="2026-08-21T00:00:00"/>
    <x v="3"/>
    <x v="25"/>
    <s v="P002"/>
    <x v="4"/>
    <x v="3"/>
    <n v="1.2"/>
    <n v="1"/>
    <n v="0"/>
    <n v="1.2"/>
    <n v="0.9"/>
    <n v="0.3"/>
    <x v="1"/>
  </r>
  <r>
    <x v="68"/>
    <x v="0"/>
    <x v="0"/>
    <d v="2026-03-08T00:00:00"/>
    <x v="1"/>
    <x v="5"/>
    <s v="P010"/>
    <x v="5"/>
    <x v="4"/>
    <n v="3.8"/>
    <n v="1"/>
    <n v="0.1"/>
    <n v="3.42"/>
    <n v="2.7"/>
    <n v="0.72"/>
    <x v="0"/>
  </r>
  <r>
    <x v="69"/>
    <x v="4"/>
    <x v="4"/>
    <d v="2026-01-26T00:00:00"/>
    <x v="2"/>
    <x v="14"/>
    <s v="P005"/>
    <x v="8"/>
    <x v="0"/>
    <n v="3.2"/>
    <n v="3"/>
    <n v="0"/>
    <n v="9.6"/>
    <n v="7.3"/>
    <n v="2.2999999999999998"/>
    <x v="1"/>
  </r>
  <r>
    <x v="70"/>
    <x v="3"/>
    <x v="3"/>
    <d v="2026-04-16T00:00:00"/>
    <x v="1"/>
    <x v="18"/>
    <s v="P009"/>
    <x v="6"/>
    <x v="4"/>
    <n v="5.5"/>
    <n v="5"/>
    <n v="0.05"/>
    <n v="26.12"/>
    <n v="20.07"/>
    <n v="6.05"/>
    <x v="1"/>
  </r>
  <r>
    <x v="71"/>
    <x v="8"/>
    <x v="8"/>
    <d v="2026-05-09T00:00:00"/>
    <x v="0"/>
    <x v="10"/>
    <s v="P001"/>
    <x v="2"/>
    <x v="2"/>
    <n v="1.5"/>
    <n v="1"/>
    <n v="0"/>
    <n v="1.5"/>
    <n v="1.17"/>
    <n v="0.33"/>
    <x v="0"/>
  </r>
  <r>
    <x v="72"/>
    <x v="11"/>
    <x v="11"/>
    <d v="2026-09-01T00:00:00"/>
    <x v="0"/>
    <x v="6"/>
    <s v="P009"/>
    <x v="6"/>
    <x v="4"/>
    <n v="5.5"/>
    <n v="4"/>
    <n v="0.05"/>
    <n v="20.9"/>
    <n v="16.059999999999999"/>
    <n v="4.84"/>
    <x v="1"/>
  </r>
  <r>
    <x v="73"/>
    <x v="1"/>
    <x v="1"/>
    <d v="2026-10-07T00:00:00"/>
    <x v="2"/>
    <x v="12"/>
    <s v="P008"/>
    <x v="7"/>
    <x v="1"/>
    <n v="1.4"/>
    <n v="7"/>
    <n v="0.1"/>
    <n v="8.82"/>
    <n v="6.66"/>
    <n v="2.16"/>
    <x v="0"/>
  </r>
  <r>
    <x v="74"/>
    <x v="6"/>
    <x v="6"/>
    <d v="2026-06-25T00:00:00"/>
    <x v="3"/>
    <x v="26"/>
    <s v="P004"/>
    <x v="9"/>
    <x v="5"/>
    <n v="6.5"/>
    <n v="4"/>
    <n v="0"/>
    <n v="26"/>
    <n v="21.32"/>
    <n v="4.68"/>
    <x v="0"/>
  </r>
  <r>
    <x v="75"/>
    <x v="4"/>
    <x v="4"/>
    <d v="2026-01-08T00:00:00"/>
    <x v="3"/>
    <x v="15"/>
    <s v="P003"/>
    <x v="3"/>
    <x v="2"/>
    <n v="2.8"/>
    <n v="2"/>
    <n v="0"/>
    <n v="5.6"/>
    <n v="4.4800000000000004"/>
    <n v="1.1200000000000001"/>
    <x v="0"/>
  </r>
  <r>
    <x v="76"/>
    <x v="5"/>
    <x v="5"/>
    <d v="2026-12-07T00:00:00"/>
    <x v="2"/>
    <x v="8"/>
    <s v="P002"/>
    <x v="4"/>
    <x v="3"/>
    <n v="1.2"/>
    <n v="7"/>
    <n v="0.1"/>
    <n v="7.56"/>
    <n v="6.3"/>
    <n v="1.26"/>
    <x v="0"/>
  </r>
  <r>
    <x v="77"/>
    <x v="4"/>
    <x v="4"/>
    <d v="2026-01-24T00:00:00"/>
    <x v="1"/>
    <x v="18"/>
    <s v="P005"/>
    <x v="8"/>
    <x v="0"/>
    <n v="3.2"/>
    <n v="8"/>
    <n v="0"/>
    <n v="25.6"/>
    <n v="19.46"/>
    <n v="6.14"/>
    <x v="1"/>
  </r>
  <r>
    <x v="78"/>
    <x v="8"/>
    <x v="8"/>
    <d v="2026-05-15T00:00:00"/>
    <x v="2"/>
    <x v="27"/>
    <s v="P001"/>
    <x v="2"/>
    <x v="2"/>
    <n v="1.5"/>
    <n v="6"/>
    <n v="0"/>
    <n v="9"/>
    <n v="7.02"/>
    <n v="1.98"/>
    <x v="0"/>
  </r>
  <r>
    <x v="79"/>
    <x v="3"/>
    <x v="3"/>
    <d v="2026-04-22T00:00:00"/>
    <x v="0"/>
    <x v="28"/>
    <s v="P005"/>
    <x v="8"/>
    <x v="0"/>
    <n v="3.2"/>
    <n v="6"/>
    <n v="0"/>
    <n v="19.2"/>
    <n v="14.59"/>
    <n v="4.6100000000000003"/>
    <x v="1"/>
  </r>
  <r>
    <x v="80"/>
    <x v="11"/>
    <x v="11"/>
    <d v="2026-09-01T00:00:00"/>
    <x v="1"/>
    <x v="27"/>
    <s v="P002"/>
    <x v="4"/>
    <x v="3"/>
    <n v="1.2"/>
    <n v="5"/>
    <n v="0.1"/>
    <n v="5.4"/>
    <n v="4.5"/>
    <n v="0.9"/>
    <x v="0"/>
  </r>
  <r>
    <x v="81"/>
    <x v="8"/>
    <x v="8"/>
    <d v="2026-05-16T00:00:00"/>
    <x v="3"/>
    <x v="3"/>
    <s v="P002"/>
    <x v="4"/>
    <x v="3"/>
    <n v="1.2"/>
    <n v="2"/>
    <n v="0"/>
    <n v="2.4"/>
    <n v="1.8"/>
    <n v="0.6"/>
    <x v="0"/>
  </r>
  <r>
    <x v="82"/>
    <x v="4"/>
    <x v="4"/>
    <d v="2026-01-12T00:00:00"/>
    <x v="1"/>
    <x v="13"/>
    <s v="P007"/>
    <x v="1"/>
    <x v="1"/>
    <n v="2.5"/>
    <n v="5"/>
    <n v="0"/>
    <n v="12.5"/>
    <n v="8.75"/>
    <n v="3.75"/>
    <x v="0"/>
  </r>
  <r>
    <x v="83"/>
    <x v="7"/>
    <x v="7"/>
    <d v="2026-07-19T00:00:00"/>
    <x v="1"/>
    <x v="4"/>
    <s v="P010"/>
    <x v="5"/>
    <x v="4"/>
    <n v="3.8"/>
    <n v="6"/>
    <n v="0.05"/>
    <n v="21.66"/>
    <n v="16.190000000000001"/>
    <n v="5.47"/>
    <x v="0"/>
  </r>
  <r>
    <x v="84"/>
    <x v="11"/>
    <x v="11"/>
    <d v="2026-09-20T00:00:00"/>
    <x v="1"/>
    <x v="25"/>
    <s v="P001"/>
    <x v="2"/>
    <x v="2"/>
    <n v="1.5"/>
    <n v="11"/>
    <n v="0.05"/>
    <n v="15.67"/>
    <n v="12.87"/>
    <n v="2.8"/>
    <x v="0"/>
  </r>
  <r>
    <x v="85"/>
    <x v="5"/>
    <x v="5"/>
    <d v="2026-12-31T00:00:00"/>
    <x v="0"/>
    <x v="29"/>
    <s v="P010"/>
    <x v="5"/>
    <x v="4"/>
    <n v="3.8"/>
    <n v="11"/>
    <n v="0"/>
    <n v="41.8"/>
    <n v="29.68"/>
    <n v="12.12"/>
    <x v="0"/>
  </r>
  <r>
    <x v="86"/>
    <x v="9"/>
    <x v="9"/>
    <d v="2026-11-23T00:00:00"/>
    <x v="3"/>
    <x v="0"/>
    <s v="P003"/>
    <x v="3"/>
    <x v="2"/>
    <n v="2.8"/>
    <n v="6"/>
    <n v="0"/>
    <n v="16.8"/>
    <n v="13.44"/>
    <n v="3.36"/>
    <x v="1"/>
  </r>
  <r>
    <x v="87"/>
    <x v="4"/>
    <x v="4"/>
    <d v="2026-01-26T00:00:00"/>
    <x v="1"/>
    <x v="9"/>
    <s v="P009"/>
    <x v="6"/>
    <x v="4"/>
    <n v="5.5"/>
    <n v="11"/>
    <n v="0"/>
    <n v="60.5"/>
    <n v="44.16"/>
    <n v="16.34"/>
    <x v="1"/>
  </r>
  <r>
    <x v="88"/>
    <x v="2"/>
    <x v="2"/>
    <d v="2026-08-22T00:00:00"/>
    <x v="0"/>
    <x v="6"/>
    <s v="P001"/>
    <x v="2"/>
    <x v="2"/>
    <n v="1.5"/>
    <n v="2"/>
    <n v="0.1"/>
    <n v="2.7"/>
    <n v="2.34"/>
    <n v="0.36"/>
    <x v="0"/>
  </r>
  <r>
    <x v="89"/>
    <x v="8"/>
    <x v="8"/>
    <d v="2026-05-10T00:00:00"/>
    <x v="1"/>
    <x v="10"/>
    <s v="P008"/>
    <x v="7"/>
    <x v="1"/>
    <n v="1.4"/>
    <n v="2"/>
    <n v="0"/>
    <n v="2.8"/>
    <n v="1.9"/>
    <n v="0.9"/>
    <x v="0"/>
  </r>
  <r>
    <x v="90"/>
    <x v="9"/>
    <x v="9"/>
    <d v="2026-11-29T00:00:00"/>
    <x v="3"/>
    <x v="13"/>
    <s v="P004"/>
    <x v="9"/>
    <x v="5"/>
    <n v="6.5"/>
    <n v="8"/>
    <n v="0.05"/>
    <n v="49.4"/>
    <n v="42.64"/>
    <n v="6.76"/>
    <x v="1"/>
  </r>
  <r>
    <x v="91"/>
    <x v="4"/>
    <x v="4"/>
    <d v="2026-01-24T00:00:00"/>
    <x v="0"/>
    <x v="8"/>
    <s v="P005"/>
    <x v="8"/>
    <x v="0"/>
    <n v="3.2"/>
    <n v="10"/>
    <n v="0"/>
    <n v="32"/>
    <n v="24.32"/>
    <n v="7.68"/>
    <x v="0"/>
  </r>
  <r>
    <x v="92"/>
    <x v="8"/>
    <x v="8"/>
    <d v="2026-05-11T00:00:00"/>
    <x v="1"/>
    <x v="29"/>
    <s v="P006"/>
    <x v="0"/>
    <x v="0"/>
    <n v="1.8"/>
    <n v="11"/>
    <n v="0"/>
    <n v="19.8"/>
    <n v="14.26"/>
    <n v="5.54"/>
    <x v="1"/>
  </r>
  <r>
    <x v="93"/>
    <x v="11"/>
    <x v="11"/>
    <d v="2026-09-06T00:00:00"/>
    <x v="1"/>
    <x v="6"/>
    <s v="P001"/>
    <x v="2"/>
    <x v="2"/>
    <n v="1.5"/>
    <n v="5"/>
    <n v="0"/>
    <n v="7.5"/>
    <n v="5.85"/>
    <n v="1.65"/>
    <x v="1"/>
  </r>
  <r>
    <x v="94"/>
    <x v="5"/>
    <x v="5"/>
    <d v="2026-12-29T00:00:00"/>
    <x v="3"/>
    <x v="11"/>
    <s v="P005"/>
    <x v="8"/>
    <x v="0"/>
    <n v="3.2"/>
    <n v="9"/>
    <n v="0"/>
    <n v="28.8"/>
    <n v="21.89"/>
    <n v="6.91"/>
    <x v="1"/>
  </r>
  <r>
    <x v="95"/>
    <x v="1"/>
    <x v="1"/>
    <d v="2026-10-09T00:00:00"/>
    <x v="0"/>
    <x v="25"/>
    <s v="P002"/>
    <x v="4"/>
    <x v="3"/>
    <n v="1.2"/>
    <n v="4"/>
    <n v="0"/>
    <n v="4.8"/>
    <n v="3.6"/>
    <n v="1.2"/>
    <x v="1"/>
  </r>
  <r>
    <x v="96"/>
    <x v="8"/>
    <x v="8"/>
    <d v="2026-05-29T00:00:00"/>
    <x v="3"/>
    <x v="18"/>
    <s v="P001"/>
    <x v="2"/>
    <x v="2"/>
    <n v="1.5"/>
    <n v="8"/>
    <n v="0"/>
    <n v="12"/>
    <n v="9.36"/>
    <n v="2.64"/>
    <x v="1"/>
  </r>
  <r>
    <x v="97"/>
    <x v="3"/>
    <x v="3"/>
    <d v="2026-04-18T00:00:00"/>
    <x v="0"/>
    <x v="21"/>
    <s v="P004"/>
    <x v="9"/>
    <x v="5"/>
    <n v="6.5"/>
    <n v="2"/>
    <n v="0.1"/>
    <n v="11.7"/>
    <n v="10.66"/>
    <n v="1.04"/>
    <x v="1"/>
  </r>
  <r>
    <x v="98"/>
    <x v="0"/>
    <x v="0"/>
    <d v="2026-03-09T00:00:00"/>
    <x v="2"/>
    <x v="20"/>
    <s v="P006"/>
    <x v="0"/>
    <x v="0"/>
    <n v="1.8"/>
    <n v="10"/>
    <n v="0.1"/>
    <n v="16.2"/>
    <n v="12.96"/>
    <n v="3.24"/>
    <x v="0"/>
  </r>
  <r>
    <x v="99"/>
    <x v="3"/>
    <x v="3"/>
    <d v="2026-04-29T00:00:00"/>
    <x v="3"/>
    <x v="29"/>
    <s v="P006"/>
    <x v="0"/>
    <x v="0"/>
    <n v="1.8"/>
    <n v="8"/>
    <n v="0.05"/>
    <n v="13.68"/>
    <n v="10.37"/>
    <n v="3.31"/>
    <x v="0"/>
  </r>
  <r>
    <x v="100"/>
    <x v="11"/>
    <x v="11"/>
    <d v="2026-09-09T00:00:00"/>
    <x v="3"/>
    <x v="4"/>
    <s v="P001"/>
    <x v="2"/>
    <x v="2"/>
    <n v="1.5"/>
    <n v="11"/>
    <n v="0.05"/>
    <n v="15.67"/>
    <n v="12.87"/>
    <n v="2.8"/>
    <x v="0"/>
  </r>
  <r>
    <x v="101"/>
    <x v="6"/>
    <x v="6"/>
    <d v="2026-06-26T00:00:00"/>
    <x v="0"/>
    <x v="0"/>
    <s v="P007"/>
    <x v="1"/>
    <x v="1"/>
    <n v="2.5"/>
    <n v="7"/>
    <n v="0"/>
    <n v="17.5"/>
    <n v="12.25"/>
    <n v="5.25"/>
    <x v="1"/>
  </r>
  <r>
    <x v="102"/>
    <x v="6"/>
    <x v="6"/>
    <d v="2026-06-16T00:00:00"/>
    <x v="0"/>
    <x v="25"/>
    <s v="P001"/>
    <x v="2"/>
    <x v="2"/>
    <n v="1.5"/>
    <n v="6"/>
    <n v="0.05"/>
    <n v="8.5500000000000007"/>
    <n v="7.02"/>
    <n v="1.53"/>
    <x v="0"/>
  </r>
  <r>
    <x v="103"/>
    <x v="8"/>
    <x v="8"/>
    <d v="2026-05-29T00:00:00"/>
    <x v="0"/>
    <x v="24"/>
    <s v="P001"/>
    <x v="2"/>
    <x v="2"/>
    <n v="1.5"/>
    <n v="5"/>
    <n v="0"/>
    <n v="7.5"/>
    <n v="5.85"/>
    <n v="1.65"/>
    <x v="1"/>
  </r>
  <r>
    <x v="104"/>
    <x v="10"/>
    <x v="10"/>
    <d v="2026-02-09T00:00:00"/>
    <x v="2"/>
    <x v="23"/>
    <s v="P010"/>
    <x v="5"/>
    <x v="4"/>
    <n v="3.8"/>
    <n v="6"/>
    <n v="0.05"/>
    <n v="21.66"/>
    <n v="16.190000000000001"/>
    <n v="5.47"/>
    <x v="0"/>
  </r>
  <r>
    <x v="105"/>
    <x v="10"/>
    <x v="10"/>
    <d v="2026-02-22T00:00:00"/>
    <x v="1"/>
    <x v="27"/>
    <s v="P005"/>
    <x v="8"/>
    <x v="0"/>
    <n v="3.2"/>
    <n v="1"/>
    <n v="0"/>
    <n v="3.2"/>
    <n v="2.4300000000000002"/>
    <n v="0.77"/>
    <x v="1"/>
  </r>
  <r>
    <x v="106"/>
    <x v="11"/>
    <x v="11"/>
    <d v="2026-09-19T00:00:00"/>
    <x v="2"/>
    <x v="19"/>
    <s v="P007"/>
    <x v="1"/>
    <x v="1"/>
    <n v="2.5"/>
    <n v="6"/>
    <n v="0"/>
    <n v="15"/>
    <n v="10.5"/>
    <n v="4.5"/>
    <x v="1"/>
  </r>
  <r>
    <x v="107"/>
    <x v="9"/>
    <x v="9"/>
    <d v="2026-11-20T00:00:00"/>
    <x v="1"/>
    <x v="10"/>
    <s v="P001"/>
    <x v="2"/>
    <x v="2"/>
    <n v="1.5"/>
    <n v="7"/>
    <n v="0.1"/>
    <n v="9.4499999999999993"/>
    <n v="8.19"/>
    <n v="1.26"/>
    <x v="0"/>
  </r>
  <r>
    <x v="108"/>
    <x v="7"/>
    <x v="7"/>
    <d v="2026-07-30T00:00:00"/>
    <x v="1"/>
    <x v="14"/>
    <s v="P001"/>
    <x v="2"/>
    <x v="2"/>
    <n v="1.5"/>
    <n v="8"/>
    <n v="0.1"/>
    <n v="10.8"/>
    <n v="9.36"/>
    <n v="1.44"/>
    <x v="1"/>
  </r>
  <r>
    <x v="109"/>
    <x v="4"/>
    <x v="4"/>
    <d v="2026-01-26T00:00:00"/>
    <x v="1"/>
    <x v="9"/>
    <s v="P008"/>
    <x v="7"/>
    <x v="1"/>
    <n v="1.4"/>
    <n v="9"/>
    <n v="0"/>
    <n v="12.6"/>
    <n v="8.57"/>
    <n v="4.03"/>
    <x v="1"/>
  </r>
  <r>
    <x v="110"/>
    <x v="8"/>
    <x v="8"/>
    <d v="2026-05-25T00:00:00"/>
    <x v="2"/>
    <x v="24"/>
    <s v="P006"/>
    <x v="0"/>
    <x v="0"/>
    <n v="1.8"/>
    <n v="5"/>
    <n v="0"/>
    <n v="9"/>
    <n v="6.48"/>
    <n v="2.52"/>
    <x v="0"/>
  </r>
  <r>
    <x v="111"/>
    <x v="11"/>
    <x v="11"/>
    <d v="2026-09-05T00:00:00"/>
    <x v="0"/>
    <x v="15"/>
    <s v="P005"/>
    <x v="8"/>
    <x v="0"/>
    <n v="3.2"/>
    <n v="9"/>
    <n v="0.05"/>
    <n v="27.36"/>
    <n v="21.89"/>
    <n v="5.47"/>
    <x v="0"/>
  </r>
  <r>
    <x v="112"/>
    <x v="3"/>
    <x v="3"/>
    <d v="2026-04-17T00:00:00"/>
    <x v="1"/>
    <x v="11"/>
    <s v="P002"/>
    <x v="4"/>
    <x v="3"/>
    <n v="1.2"/>
    <n v="9"/>
    <n v="0.05"/>
    <n v="10.26"/>
    <n v="8.1"/>
    <n v="2.16"/>
    <x v="1"/>
  </r>
  <r>
    <x v="113"/>
    <x v="2"/>
    <x v="2"/>
    <d v="2026-08-07T00:00:00"/>
    <x v="1"/>
    <x v="27"/>
    <s v="P008"/>
    <x v="7"/>
    <x v="1"/>
    <n v="1.4"/>
    <n v="3"/>
    <n v="0.1"/>
    <n v="3.78"/>
    <n v="2.86"/>
    <n v="0.92"/>
    <x v="0"/>
  </r>
  <r>
    <x v="114"/>
    <x v="6"/>
    <x v="6"/>
    <d v="2026-06-25T00:00:00"/>
    <x v="2"/>
    <x v="27"/>
    <s v="P003"/>
    <x v="3"/>
    <x v="2"/>
    <n v="2.8"/>
    <n v="9"/>
    <n v="0"/>
    <n v="25.2"/>
    <n v="20.16"/>
    <n v="5.04"/>
    <x v="1"/>
  </r>
  <r>
    <x v="115"/>
    <x v="1"/>
    <x v="1"/>
    <d v="2026-10-19T00:00:00"/>
    <x v="3"/>
    <x v="24"/>
    <s v="P005"/>
    <x v="8"/>
    <x v="0"/>
    <n v="3.2"/>
    <n v="4"/>
    <n v="0"/>
    <n v="12.8"/>
    <n v="9.73"/>
    <n v="3.07"/>
    <x v="1"/>
  </r>
  <r>
    <x v="116"/>
    <x v="3"/>
    <x v="3"/>
    <d v="2026-04-18T00:00:00"/>
    <x v="2"/>
    <x v="17"/>
    <s v="P009"/>
    <x v="6"/>
    <x v="4"/>
    <n v="5.5"/>
    <n v="7"/>
    <n v="0"/>
    <n v="38.5"/>
    <n v="28.1"/>
    <n v="10.4"/>
    <x v="0"/>
  </r>
  <r>
    <x v="117"/>
    <x v="8"/>
    <x v="8"/>
    <d v="2026-05-23T00:00:00"/>
    <x v="1"/>
    <x v="6"/>
    <s v="P008"/>
    <x v="7"/>
    <x v="1"/>
    <n v="1.4"/>
    <n v="10"/>
    <n v="0"/>
    <n v="14"/>
    <n v="9.52"/>
    <n v="4.4800000000000004"/>
    <x v="0"/>
  </r>
  <r>
    <x v="118"/>
    <x v="8"/>
    <x v="8"/>
    <d v="2026-05-19T00:00:00"/>
    <x v="3"/>
    <x v="14"/>
    <s v="P002"/>
    <x v="4"/>
    <x v="3"/>
    <n v="1.2"/>
    <n v="4"/>
    <n v="0.05"/>
    <n v="4.5599999999999996"/>
    <n v="3.6"/>
    <n v="0.96"/>
    <x v="1"/>
  </r>
  <r>
    <x v="119"/>
    <x v="6"/>
    <x v="6"/>
    <d v="2026-06-09T00:00:00"/>
    <x v="0"/>
    <x v="22"/>
    <s v="P007"/>
    <x v="1"/>
    <x v="1"/>
    <n v="2.5"/>
    <n v="1"/>
    <n v="0"/>
    <n v="2.5"/>
    <n v="1.75"/>
    <n v="0.75"/>
    <x v="1"/>
  </r>
  <r>
    <x v="120"/>
    <x v="11"/>
    <x v="11"/>
    <d v="2026-09-08T00:00:00"/>
    <x v="3"/>
    <x v="25"/>
    <s v="P010"/>
    <x v="5"/>
    <x v="4"/>
    <n v="3.8"/>
    <n v="1"/>
    <n v="0"/>
    <n v="3.8"/>
    <n v="2.7"/>
    <n v="1.1000000000000001"/>
    <x v="1"/>
  </r>
  <r>
    <x v="121"/>
    <x v="8"/>
    <x v="8"/>
    <d v="2026-05-08T00:00:00"/>
    <x v="1"/>
    <x v="21"/>
    <s v="P008"/>
    <x v="7"/>
    <x v="1"/>
    <n v="1.4"/>
    <n v="2"/>
    <n v="0"/>
    <n v="2.8"/>
    <n v="1.9"/>
    <n v="0.9"/>
    <x v="0"/>
  </r>
  <r>
    <x v="122"/>
    <x v="10"/>
    <x v="10"/>
    <d v="2026-02-13T00:00:00"/>
    <x v="0"/>
    <x v="19"/>
    <s v="P008"/>
    <x v="7"/>
    <x v="1"/>
    <n v="1.4"/>
    <n v="9"/>
    <n v="0"/>
    <n v="12.6"/>
    <n v="8.57"/>
    <n v="4.03"/>
    <x v="0"/>
  </r>
  <r>
    <x v="123"/>
    <x v="1"/>
    <x v="1"/>
    <d v="2026-10-19T00:00:00"/>
    <x v="1"/>
    <x v="14"/>
    <s v="P004"/>
    <x v="9"/>
    <x v="5"/>
    <n v="6.5"/>
    <n v="1"/>
    <n v="0"/>
    <n v="6.5"/>
    <n v="5.33"/>
    <n v="1.17"/>
    <x v="1"/>
  </r>
  <r>
    <x v="124"/>
    <x v="9"/>
    <x v="9"/>
    <d v="2026-11-22T00:00:00"/>
    <x v="0"/>
    <x v="13"/>
    <s v="P009"/>
    <x v="6"/>
    <x v="4"/>
    <n v="5.5"/>
    <n v="7"/>
    <n v="0"/>
    <n v="38.5"/>
    <n v="28.1"/>
    <n v="10.4"/>
    <x v="1"/>
  </r>
  <r>
    <x v="125"/>
    <x v="1"/>
    <x v="1"/>
    <d v="2026-10-26T00:00:00"/>
    <x v="2"/>
    <x v="27"/>
    <s v="P009"/>
    <x v="6"/>
    <x v="4"/>
    <n v="5.5"/>
    <n v="4"/>
    <n v="0.05"/>
    <n v="20.9"/>
    <n v="16.059999999999999"/>
    <n v="4.84"/>
    <x v="0"/>
  </r>
  <r>
    <x v="126"/>
    <x v="1"/>
    <x v="1"/>
    <d v="2026-10-03T00:00:00"/>
    <x v="2"/>
    <x v="28"/>
    <s v="P001"/>
    <x v="2"/>
    <x v="2"/>
    <n v="1.5"/>
    <n v="5"/>
    <n v="0.05"/>
    <n v="7.12"/>
    <n v="5.85"/>
    <n v="1.27"/>
    <x v="0"/>
  </r>
  <r>
    <x v="127"/>
    <x v="11"/>
    <x v="11"/>
    <d v="2026-09-27T00:00:00"/>
    <x v="1"/>
    <x v="29"/>
    <s v="P008"/>
    <x v="7"/>
    <x v="1"/>
    <n v="1.4"/>
    <n v="4"/>
    <n v="0.1"/>
    <n v="5.04"/>
    <n v="3.81"/>
    <n v="1.23"/>
    <x v="1"/>
  </r>
  <r>
    <x v="128"/>
    <x v="4"/>
    <x v="4"/>
    <d v="2026-01-29T00:00:00"/>
    <x v="3"/>
    <x v="20"/>
    <s v="P005"/>
    <x v="8"/>
    <x v="0"/>
    <n v="3.2"/>
    <n v="1"/>
    <n v="0"/>
    <n v="3.2"/>
    <n v="2.4300000000000002"/>
    <n v="0.77"/>
    <x v="1"/>
  </r>
  <r>
    <x v="129"/>
    <x v="8"/>
    <x v="8"/>
    <d v="2026-05-12T00:00:00"/>
    <x v="2"/>
    <x v="27"/>
    <s v="P002"/>
    <x v="4"/>
    <x v="3"/>
    <n v="1.2"/>
    <n v="4"/>
    <n v="0.05"/>
    <n v="4.5599999999999996"/>
    <n v="3.6"/>
    <n v="0.96"/>
    <x v="1"/>
  </r>
  <r>
    <x v="130"/>
    <x v="5"/>
    <x v="5"/>
    <d v="2026-12-23T00:00:00"/>
    <x v="2"/>
    <x v="6"/>
    <s v="P001"/>
    <x v="2"/>
    <x v="2"/>
    <n v="1.5"/>
    <n v="6"/>
    <n v="0.05"/>
    <n v="8.5500000000000007"/>
    <n v="7.02"/>
    <n v="1.53"/>
    <x v="1"/>
  </r>
  <r>
    <x v="131"/>
    <x v="4"/>
    <x v="4"/>
    <d v="2026-01-04T00:00:00"/>
    <x v="0"/>
    <x v="16"/>
    <s v="P004"/>
    <x v="9"/>
    <x v="5"/>
    <n v="6.5"/>
    <n v="5"/>
    <n v="0.1"/>
    <n v="29.25"/>
    <n v="26.65"/>
    <n v="2.6"/>
    <x v="1"/>
  </r>
  <r>
    <x v="132"/>
    <x v="6"/>
    <x v="6"/>
    <d v="2026-06-09T00:00:00"/>
    <x v="3"/>
    <x v="27"/>
    <s v="P004"/>
    <x v="9"/>
    <x v="5"/>
    <n v="6.5"/>
    <n v="4"/>
    <n v="0"/>
    <n v="26"/>
    <n v="21.32"/>
    <n v="4.68"/>
    <x v="1"/>
  </r>
  <r>
    <x v="133"/>
    <x v="10"/>
    <x v="10"/>
    <d v="2026-02-25T00:00:00"/>
    <x v="1"/>
    <x v="20"/>
    <s v="P005"/>
    <x v="8"/>
    <x v="0"/>
    <n v="3.2"/>
    <n v="10"/>
    <n v="0.05"/>
    <n v="30.4"/>
    <n v="24.32"/>
    <n v="6.08"/>
    <x v="0"/>
  </r>
  <r>
    <x v="134"/>
    <x v="2"/>
    <x v="2"/>
    <d v="2026-08-02T00:00:00"/>
    <x v="1"/>
    <x v="25"/>
    <s v="P008"/>
    <x v="7"/>
    <x v="1"/>
    <n v="1.4"/>
    <n v="11"/>
    <n v="0"/>
    <n v="15.4"/>
    <n v="10.47"/>
    <n v="4.93"/>
    <x v="1"/>
  </r>
  <r>
    <x v="135"/>
    <x v="3"/>
    <x v="3"/>
    <d v="2026-04-20T00:00:00"/>
    <x v="1"/>
    <x v="22"/>
    <s v="P001"/>
    <x v="2"/>
    <x v="2"/>
    <n v="1.5"/>
    <n v="1"/>
    <n v="0.1"/>
    <n v="1.35"/>
    <n v="1.17"/>
    <n v="0.18"/>
    <x v="0"/>
  </r>
  <r>
    <x v="136"/>
    <x v="3"/>
    <x v="3"/>
    <d v="2026-04-05T00:00:00"/>
    <x v="2"/>
    <x v="10"/>
    <s v="P001"/>
    <x v="2"/>
    <x v="2"/>
    <n v="1.5"/>
    <n v="7"/>
    <n v="0.05"/>
    <n v="9.9700000000000006"/>
    <n v="8.19"/>
    <n v="1.78"/>
    <x v="0"/>
  </r>
  <r>
    <x v="137"/>
    <x v="0"/>
    <x v="0"/>
    <d v="2026-03-26T00:00:00"/>
    <x v="1"/>
    <x v="14"/>
    <s v="P002"/>
    <x v="4"/>
    <x v="3"/>
    <n v="1.2"/>
    <n v="6"/>
    <n v="0"/>
    <n v="7.2"/>
    <n v="5.4"/>
    <n v="1.8"/>
    <x v="1"/>
  </r>
  <r>
    <x v="138"/>
    <x v="6"/>
    <x v="6"/>
    <d v="2026-06-09T00:00:00"/>
    <x v="2"/>
    <x v="28"/>
    <s v="P001"/>
    <x v="2"/>
    <x v="2"/>
    <n v="1.5"/>
    <n v="11"/>
    <n v="0.05"/>
    <n v="15.67"/>
    <n v="12.87"/>
    <n v="2.8"/>
    <x v="1"/>
  </r>
  <r>
    <x v="139"/>
    <x v="10"/>
    <x v="10"/>
    <d v="2026-02-25T00:00:00"/>
    <x v="2"/>
    <x v="13"/>
    <s v="P003"/>
    <x v="3"/>
    <x v="2"/>
    <n v="2.8"/>
    <n v="1"/>
    <n v="0"/>
    <n v="2.8"/>
    <n v="2.2400000000000002"/>
    <n v="0.56000000000000005"/>
    <x v="1"/>
  </r>
  <r>
    <x v="140"/>
    <x v="0"/>
    <x v="0"/>
    <d v="2026-03-05T00:00:00"/>
    <x v="3"/>
    <x v="26"/>
    <s v="P007"/>
    <x v="1"/>
    <x v="1"/>
    <n v="2.5"/>
    <n v="9"/>
    <n v="0"/>
    <n v="22.5"/>
    <n v="15.75"/>
    <n v="6.75"/>
    <x v="1"/>
  </r>
  <r>
    <x v="141"/>
    <x v="10"/>
    <x v="10"/>
    <d v="2026-02-14T00:00:00"/>
    <x v="1"/>
    <x v="26"/>
    <s v="P007"/>
    <x v="1"/>
    <x v="1"/>
    <n v="2.5"/>
    <n v="1"/>
    <n v="0.05"/>
    <n v="2.38"/>
    <n v="1.75"/>
    <n v="0.63"/>
    <x v="1"/>
  </r>
  <r>
    <x v="142"/>
    <x v="6"/>
    <x v="6"/>
    <d v="2026-06-15T00:00:00"/>
    <x v="0"/>
    <x v="14"/>
    <s v="P004"/>
    <x v="9"/>
    <x v="5"/>
    <n v="6.5"/>
    <n v="6"/>
    <n v="0.05"/>
    <n v="37.049999999999997"/>
    <n v="31.98"/>
    <n v="5.07"/>
    <x v="1"/>
  </r>
  <r>
    <x v="143"/>
    <x v="9"/>
    <x v="9"/>
    <d v="2026-11-17T00:00:00"/>
    <x v="3"/>
    <x v="1"/>
    <s v="P004"/>
    <x v="9"/>
    <x v="5"/>
    <n v="6.5"/>
    <n v="7"/>
    <n v="0"/>
    <n v="45.5"/>
    <n v="37.31"/>
    <n v="8.19"/>
    <x v="1"/>
  </r>
  <r>
    <x v="144"/>
    <x v="10"/>
    <x v="10"/>
    <d v="2026-02-01T00:00:00"/>
    <x v="0"/>
    <x v="20"/>
    <s v="P002"/>
    <x v="4"/>
    <x v="3"/>
    <n v="1.2"/>
    <n v="5"/>
    <n v="0"/>
    <n v="6"/>
    <n v="4.5"/>
    <n v="1.5"/>
    <x v="1"/>
  </r>
  <r>
    <x v="145"/>
    <x v="8"/>
    <x v="8"/>
    <d v="2026-05-20T00:00:00"/>
    <x v="0"/>
    <x v="18"/>
    <s v="P006"/>
    <x v="0"/>
    <x v="0"/>
    <n v="1.8"/>
    <n v="6"/>
    <n v="0.1"/>
    <n v="9.7200000000000006"/>
    <n v="7.78"/>
    <n v="1.94"/>
    <x v="1"/>
  </r>
  <r>
    <x v="146"/>
    <x v="6"/>
    <x v="6"/>
    <d v="2026-06-02T00:00:00"/>
    <x v="0"/>
    <x v="29"/>
    <s v="P005"/>
    <x v="8"/>
    <x v="0"/>
    <n v="3.2"/>
    <n v="1"/>
    <n v="0.1"/>
    <n v="2.88"/>
    <n v="2.4300000000000002"/>
    <n v="0.45"/>
    <x v="0"/>
  </r>
  <r>
    <x v="147"/>
    <x v="11"/>
    <x v="11"/>
    <d v="2026-09-01T00:00:00"/>
    <x v="3"/>
    <x v="19"/>
    <s v="P002"/>
    <x v="4"/>
    <x v="3"/>
    <n v="1.2"/>
    <n v="12"/>
    <n v="0.05"/>
    <n v="13.68"/>
    <n v="10.8"/>
    <n v="2.88"/>
    <x v="1"/>
  </r>
  <r>
    <x v="148"/>
    <x v="11"/>
    <x v="11"/>
    <d v="2026-09-10T00:00:00"/>
    <x v="1"/>
    <x v="29"/>
    <s v="P007"/>
    <x v="1"/>
    <x v="1"/>
    <n v="2.5"/>
    <n v="3"/>
    <n v="0.05"/>
    <n v="7.12"/>
    <n v="5.25"/>
    <n v="1.87"/>
    <x v="1"/>
  </r>
  <r>
    <x v="149"/>
    <x v="9"/>
    <x v="9"/>
    <d v="2026-11-07T00:00:00"/>
    <x v="2"/>
    <x v="11"/>
    <s v="P003"/>
    <x v="3"/>
    <x v="2"/>
    <n v="2.8"/>
    <n v="4"/>
    <n v="0"/>
    <n v="11.2"/>
    <n v="8.9600000000000009"/>
    <n v="2.2400000000000002"/>
    <x v="1"/>
  </r>
  <r>
    <x v="150"/>
    <x v="10"/>
    <x v="10"/>
    <d v="2026-02-10T00:00:00"/>
    <x v="3"/>
    <x v="17"/>
    <s v="P010"/>
    <x v="5"/>
    <x v="4"/>
    <n v="3.8"/>
    <n v="9"/>
    <n v="0"/>
    <n v="34.200000000000003"/>
    <n v="24.28"/>
    <n v="9.92"/>
    <x v="0"/>
  </r>
  <r>
    <x v="151"/>
    <x v="7"/>
    <x v="7"/>
    <d v="2026-07-28T00:00:00"/>
    <x v="3"/>
    <x v="2"/>
    <s v="P004"/>
    <x v="9"/>
    <x v="5"/>
    <n v="6.5"/>
    <n v="2"/>
    <n v="0"/>
    <n v="13"/>
    <n v="10.66"/>
    <n v="2.34"/>
    <x v="1"/>
  </r>
  <r>
    <x v="152"/>
    <x v="2"/>
    <x v="2"/>
    <d v="2026-08-07T00:00:00"/>
    <x v="2"/>
    <x v="8"/>
    <s v="P003"/>
    <x v="3"/>
    <x v="2"/>
    <n v="2.8"/>
    <n v="2"/>
    <n v="0"/>
    <n v="5.6"/>
    <n v="4.4800000000000004"/>
    <n v="1.1200000000000001"/>
    <x v="0"/>
  </r>
  <r>
    <x v="153"/>
    <x v="10"/>
    <x v="10"/>
    <d v="2026-02-19T00:00:00"/>
    <x v="3"/>
    <x v="15"/>
    <s v="P004"/>
    <x v="9"/>
    <x v="5"/>
    <n v="6.5"/>
    <n v="7"/>
    <n v="0.05"/>
    <n v="43.23"/>
    <n v="37.31"/>
    <n v="5.92"/>
    <x v="0"/>
  </r>
  <r>
    <x v="154"/>
    <x v="2"/>
    <x v="2"/>
    <d v="2026-08-02T00:00:00"/>
    <x v="1"/>
    <x v="10"/>
    <s v="P003"/>
    <x v="3"/>
    <x v="2"/>
    <n v="2.8"/>
    <n v="8"/>
    <n v="0.1"/>
    <n v="20.16"/>
    <n v="17.920000000000002"/>
    <n v="2.2400000000000002"/>
    <x v="0"/>
  </r>
  <r>
    <x v="155"/>
    <x v="8"/>
    <x v="8"/>
    <d v="2026-05-31T00:00:00"/>
    <x v="2"/>
    <x v="26"/>
    <s v="P005"/>
    <x v="8"/>
    <x v="0"/>
    <n v="3.2"/>
    <n v="5"/>
    <n v="0.1"/>
    <n v="14.4"/>
    <n v="12.16"/>
    <n v="2.2400000000000002"/>
    <x v="1"/>
  </r>
  <r>
    <x v="156"/>
    <x v="3"/>
    <x v="3"/>
    <d v="2026-04-12T00:00:00"/>
    <x v="1"/>
    <x v="27"/>
    <s v="P005"/>
    <x v="8"/>
    <x v="0"/>
    <n v="3.2"/>
    <n v="8"/>
    <n v="0"/>
    <n v="25.6"/>
    <n v="19.46"/>
    <n v="6.14"/>
    <x v="0"/>
  </r>
  <r>
    <x v="157"/>
    <x v="8"/>
    <x v="8"/>
    <d v="2026-05-25T00:00:00"/>
    <x v="2"/>
    <x v="13"/>
    <s v="P003"/>
    <x v="3"/>
    <x v="2"/>
    <n v="2.8"/>
    <n v="10"/>
    <n v="0"/>
    <n v="28"/>
    <n v="22.4"/>
    <n v="5.6"/>
    <x v="1"/>
  </r>
  <r>
    <x v="158"/>
    <x v="8"/>
    <x v="8"/>
    <d v="2026-05-06T00:00:00"/>
    <x v="1"/>
    <x v="14"/>
    <s v="P005"/>
    <x v="8"/>
    <x v="0"/>
    <n v="3.2"/>
    <n v="9"/>
    <n v="0.1"/>
    <n v="25.92"/>
    <n v="21.89"/>
    <n v="4.03"/>
    <x v="0"/>
  </r>
  <r>
    <x v="159"/>
    <x v="4"/>
    <x v="4"/>
    <d v="2026-01-19T00:00:00"/>
    <x v="3"/>
    <x v="20"/>
    <s v="P008"/>
    <x v="7"/>
    <x v="1"/>
    <n v="1.4"/>
    <n v="2"/>
    <n v="0"/>
    <n v="2.8"/>
    <n v="1.9"/>
    <n v="0.9"/>
    <x v="0"/>
  </r>
  <r>
    <x v="160"/>
    <x v="7"/>
    <x v="7"/>
    <d v="2026-07-11T00:00:00"/>
    <x v="1"/>
    <x v="5"/>
    <s v="P008"/>
    <x v="7"/>
    <x v="1"/>
    <n v="1.4"/>
    <n v="1"/>
    <n v="0"/>
    <n v="1.4"/>
    <n v="0.95"/>
    <n v="0.45"/>
    <x v="0"/>
  </r>
  <r>
    <x v="161"/>
    <x v="9"/>
    <x v="9"/>
    <d v="2026-11-04T00:00:00"/>
    <x v="0"/>
    <x v="26"/>
    <s v="P004"/>
    <x v="9"/>
    <x v="5"/>
    <n v="6.5"/>
    <n v="10"/>
    <n v="0"/>
    <n v="65"/>
    <n v="53.3"/>
    <n v="11.7"/>
    <x v="0"/>
  </r>
  <r>
    <x v="162"/>
    <x v="9"/>
    <x v="9"/>
    <d v="2026-11-05T00:00:00"/>
    <x v="0"/>
    <x v="14"/>
    <s v="P008"/>
    <x v="7"/>
    <x v="1"/>
    <n v="1.4"/>
    <n v="5"/>
    <n v="0"/>
    <n v="7"/>
    <n v="4.76"/>
    <n v="2.2400000000000002"/>
    <x v="1"/>
  </r>
  <r>
    <x v="163"/>
    <x v="4"/>
    <x v="4"/>
    <d v="2026-01-20T00:00:00"/>
    <x v="1"/>
    <x v="1"/>
    <s v="P004"/>
    <x v="9"/>
    <x v="5"/>
    <n v="6.5"/>
    <n v="6"/>
    <n v="0"/>
    <n v="39"/>
    <n v="31.98"/>
    <n v="7.02"/>
    <x v="0"/>
  </r>
  <r>
    <x v="164"/>
    <x v="4"/>
    <x v="4"/>
    <d v="2026-01-20T00:00:00"/>
    <x v="0"/>
    <x v="0"/>
    <s v="P005"/>
    <x v="8"/>
    <x v="0"/>
    <n v="3.2"/>
    <n v="10"/>
    <n v="0"/>
    <n v="32"/>
    <n v="24.32"/>
    <n v="7.68"/>
    <x v="1"/>
  </r>
  <r>
    <x v="165"/>
    <x v="5"/>
    <x v="5"/>
    <d v="2026-12-14T00:00:00"/>
    <x v="2"/>
    <x v="13"/>
    <s v="P007"/>
    <x v="1"/>
    <x v="1"/>
    <n v="2.5"/>
    <n v="6"/>
    <n v="0"/>
    <n v="15"/>
    <n v="10.5"/>
    <n v="4.5"/>
    <x v="0"/>
  </r>
  <r>
    <x v="166"/>
    <x v="11"/>
    <x v="11"/>
    <d v="2026-09-11T00:00:00"/>
    <x v="0"/>
    <x v="22"/>
    <s v="P001"/>
    <x v="2"/>
    <x v="2"/>
    <n v="1.5"/>
    <n v="9"/>
    <n v="0.05"/>
    <n v="12.82"/>
    <n v="10.53"/>
    <n v="2.29"/>
    <x v="0"/>
  </r>
  <r>
    <x v="167"/>
    <x v="5"/>
    <x v="5"/>
    <d v="2026-12-06T00:00:00"/>
    <x v="0"/>
    <x v="14"/>
    <s v="P007"/>
    <x v="1"/>
    <x v="1"/>
    <n v="2.5"/>
    <n v="9"/>
    <n v="0"/>
    <n v="22.5"/>
    <n v="15.75"/>
    <n v="6.75"/>
    <x v="0"/>
  </r>
  <r>
    <x v="168"/>
    <x v="5"/>
    <x v="5"/>
    <d v="2026-12-23T00:00:00"/>
    <x v="2"/>
    <x v="6"/>
    <s v="P007"/>
    <x v="1"/>
    <x v="1"/>
    <n v="2.5"/>
    <n v="5"/>
    <n v="0.05"/>
    <n v="11.88"/>
    <n v="8.75"/>
    <n v="3.13"/>
    <x v="1"/>
  </r>
  <r>
    <x v="169"/>
    <x v="4"/>
    <x v="4"/>
    <d v="2026-01-27T00:00:00"/>
    <x v="2"/>
    <x v="22"/>
    <s v="P007"/>
    <x v="1"/>
    <x v="1"/>
    <n v="2.5"/>
    <n v="5"/>
    <n v="0.1"/>
    <n v="11.25"/>
    <n v="8.75"/>
    <n v="2.5"/>
    <x v="1"/>
  </r>
  <r>
    <x v="170"/>
    <x v="7"/>
    <x v="7"/>
    <d v="2026-07-06T00:00:00"/>
    <x v="3"/>
    <x v="10"/>
    <s v="P001"/>
    <x v="2"/>
    <x v="2"/>
    <n v="1.5"/>
    <n v="11"/>
    <n v="0"/>
    <n v="16.5"/>
    <n v="12.87"/>
    <n v="3.63"/>
    <x v="1"/>
  </r>
  <r>
    <x v="171"/>
    <x v="4"/>
    <x v="4"/>
    <d v="2026-01-04T00:00:00"/>
    <x v="3"/>
    <x v="5"/>
    <s v="P004"/>
    <x v="9"/>
    <x v="5"/>
    <n v="6.5"/>
    <n v="7"/>
    <n v="0"/>
    <n v="45.5"/>
    <n v="37.31"/>
    <n v="8.19"/>
    <x v="0"/>
  </r>
  <r>
    <x v="172"/>
    <x v="1"/>
    <x v="1"/>
    <d v="2026-10-23T00:00:00"/>
    <x v="1"/>
    <x v="21"/>
    <s v="P007"/>
    <x v="1"/>
    <x v="1"/>
    <n v="2.5"/>
    <n v="6"/>
    <n v="0.05"/>
    <n v="14.25"/>
    <n v="10.5"/>
    <n v="3.75"/>
    <x v="0"/>
  </r>
  <r>
    <x v="173"/>
    <x v="1"/>
    <x v="1"/>
    <d v="2026-10-10T00:00:00"/>
    <x v="0"/>
    <x v="3"/>
    <s v="P001"/>
    <x v="2"/>
    <x v="2"/>
    <n v="1.5"/>
    <n v="3"/>
    <n v="0.05"/>
    <n v="4.2699999999999996"/>
    <n v="3.51"/>
    <n v="0.76"/>
    <x v="1"/>
  </r>
  <r>
    <x v="174"/>
    <x v="0"/>
    <x v="0"/>
    <d v="2026-03-29T00:00:00"/>
    <x v="2"/>
    <x v="15"/>
    <s v="P009"/>
    <x v="6"/>
    <x v="4"/>
    <n v="5.5"/>
    <n v="3"/>
    <n v="0"/>
    <n v="16.5"/>
    <n v="12.04"/>
    <n v="4.46"/>
    <x v="0"/>
  </r>
  <r>
    <x v="175"/>
    <x v="10"/>
    <x v="10"/>
    <d v="2026-02-25T00:00:00"/>
    <x v="1"/>
    <x v="4"/>
    <s v="P002"/>
    <x v="4"/>
    <x v="3"/>
    <n v="1.2"/>
    <n v="7"/>
    <n v="0.05"/>
    <n v="7.98"/>
    <n v="6.3"/>
    <n v="1.68"/>
    <x v="0"/>
  </r>
  <r>
    <x v="176"/>
    <x v="11"/>
    <x v="11"/>
    <d v="2026-09-05T00:00:00"/>
    <x v="3"/>
    <x v="13"/>
    <s v="P001"/>
    <x v="2"/>
    <x v="2"/>
    <n v="1.5"/>
    <n v="6"/>
    <n v="0"/>
    <n v="9"/>
    <n v="7.02"/>
    <n v="1.98"/>
    <x v="0"/>
  </r>
  <r>
    <x v="177"/>
    <x v="9"/>
    <x v="9"/>
    <d v="2026-11-14T00:00:00"/>
    <x v="1"/>
    <x v="0"/>
    <s v="P004"/>
    <x v="9"/>
    <x v="5"/>
    <n v="6.5"/>
    <n v="7"/>
    <n v="0.1"/>
    <n v="40.950000000000003"/>
    <n v="37.31"/>
    <n v="3.64"/>
    <x v="1"/>
  </r>
  <r>
    <x v="178"/>
    <x v="1"/>
    <x v="1"/>
    <d v="2026-10-17T00:00:00"/>
    <x v="3"/>
    <x v="7"/>
    <s v="P003"/>
    <x v="3"/>
    <x v="2"/>
    <n v="2.8"/>
    <n v="4"/>
    <n v="0"/>
    <n v="11.2"/>
    <n v="8.9600000000000009"/>
    <n v="2.2400000000000002"/>
    <x v="0"/>
  </r>
  <r>
    <x v="179"/>
    <x v="7"/>
    <x v="7"/>
    <d v="2026-07-03T00:00:00"/>
    <x v="1"/>
    <x v="10"/>
    <s v="P007"/>
    <x v="1"/>
    <x v="1"/>
    <n v="2.5"/>
    <n v="2"/>
    <n v="0"/>
    <n v="5"/>
    <n v="3.5"/>
    <n v="1.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3DC205-382E-4DBA-B8E1-5CE25CF52209}"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location ref="A3:D14" firstHeaderRow="0" firstDataRow="1" firstDataCol="1"/>
  <pivotFields count="16">
    <pivotField showAll="0"/>
    <pivotField showAll="0"/>
    <pivotField showAll="0">
      <items count="13">
        <item x="4"/>
        <item x="10"/>
        <item x="0"/>
        <item x="3"/>
        <item x="8"/>
        <item x="6"/>
        <item x="7"/>
        <item x="2"/>
        <item x="11"/>
        <item x="1"/>
        <item x="9"/>
        <item x="5"/>
        <item t="default"/>
      </items>
    </pivotField>
    <pivotField numFmtId="14" showAll="0"/>
    <pivotField showAll="0">
      <items count="5">
        <item x="2"/>
        <item x="0"/>
        <item x="1"/>
        <item x="3"/>
        <item t="default"/>
      </items>
    </pivotField>
    <pivotField showAll="0">
      <items count="31">
        <item x="29"/>
        <item x="1"/>
        <item x="13"/>
        <item x="5"/>
        <item x="21"/>
        <item x="15"/>
        <item x="16"/>
        <item x="27"/>
        <item x="18"/>
        <item x="4"/>
        <item x="28"/>
        <item x="26"/>
        <item x="24"/>
        <item x="22"/>
        <item x="11"/>
        <item x="9"/>
        <item x="7"/>
        <item x="2"/>
        <item x="3"/>
        <item x="8"/>
        <item x="14"/>
        <item x="6"/>
        <item x="12"/>
        <item x="10"/>
        <item x="17"/>
        <item x="19"/>
        <item x="0"/>
        <item x="23"/>
        <item x="20"/>
        <item x="25"/>
        <item t="default"/>
      </items>
    </pivotField>
    <pivotField showAll="0"/>
    <pivotField axis="axisRow" showAll="0" sortType="descending">
      <items count="11">
        <item x="1"/>
        <item x="7"/>
        <item x="4"/>
        <item x="9"/>
        <item x="6"/>
        <item x="3"/>
        <item x="2"/>
        <item x="0"/>
        <item x="8"/>
        <item x="5"/>
        <item t="default"/>
      </items>
      <autoSortScope>
        <pivotArea dataOnly="0" outline="0" fieldPosition="0">
          <references count="1">
            <reference field="4294967294" count="1" selected="0">
              <x v="2"/>
            </reference>
          </references>
        </pivotArea>
      </autoSortScope>
    </pivotField>
    <pivotField showAll="0">
      <items count="7">
        <item x="3"/>
        <item x="4"/>
        <item x="2"/>
        <item x="0"/>
        <item x="5"/>
        <item x="1"/>
        <item t="default"/>
      </items>
    </pivotField>
    <pivotField showAll="0"/>
    <pivotField dataField="1" showAll="0"/>
    <pivotField showAll="0"/>
    <pivotField dataField="1" showAll="0"/>
    <pivotField showAll="0"/>
    <pivotField dataField="1" showAll="0"/>
    <pivotField showAll="0"/>
  </pivotFields>
  <rowFields count="1">
    <field x="7"/>
  </rowFields>
  <rowItems count="11">
    <i>
      <x v="6"/>
    </i>
    <i>
      <x v="2"/>
    </i>
    <i>
      <x v="1"/>
    </i>
    <i>
      <x v="8"/>
    </i>
    <i>
      <x/>
    </i>
    <i>
      <x v="5"/>
    </i>
    <i>
      <x v="3"/>
    </i>
    <i>
      <x v="4"/>
    </i>
    <i>
      <x v="7"/>
    </i>
    <i>
      <x v="9"/>
    </i>
    <i t="grand">
      <x/>
    </i>
  </rowItems>
  <colFields count="1">
    <field x="-2"/>
  </colFields>
  <colItems count="3">
    <i>
      <x/>
    </i>
    <i i="1">
      <x v="1"/>
    </i>
    <i i="2">
      <x v="2"/>
    </i>
  </colItems>
  <dataFields count="3">
    <dataField name="Sum of Sales" fld="12" baseField="0" baseItem="0"/>
    <dataField name="Sum of Profit" fld="14" baseField="0" baseItem="0"/>
    <dataField name="Sum of Quantity" fld="10" baseField="0" baseItem="0"/>
  </dataFields>
  <formats count="6">
    <format dxfId="109">
      <pivotArea type="all" dataOnly="0" outline="0" fieldPosition="0"/>
    </format>
    <format dxfId="108">
      <pivotArea outline="0" collapsedLevelsAreSubtotals="1" fieldPosition="0"/>
    </format>
    <format dxfId="107">
      <pivotArea field="7" type="button" dataOnly="0" labelOnly="1" outline="0" axis="axisRow" fieldPosition="0"/>
    </format>
    <format dxfId="106">
      <pivotArea dataOnly="0" labelOnly="1" fieldPosition="0">
        <references count="1">
          <reference field="7" count="0"/>
        </references>
      </pivotArea>
    </format>
    <format dxfId="105">
      <pivotArea dataOnly="0" labelOnly="1" grandRow="1" outline="0" fieldPosition="0"/>
    </format>
    <format dxfId="10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043C606-8694-4856-ABA1-DFDE5106C9CE}" name="PivotTable1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A18:D25" firstHeaderRow="0" firstDataRow="1" firstDataCol="1"/>
  <pivotFields count="16">
    <pivotField showAll="0"/>
    <pivotField showAll="0"/>
    <pivotField showAll="0"/>
    <pivotField numFmtId="14" showAll="0"/>
    <pivotField showAll="0"/>
    <pivotField showAll="0">
      <items count="31">
        <item x="29"/>
        <item x="1"/>
        <item x="13"/>
        <item x="5"/>
        <item x="21"/>
        <item x="15"/>
        <item x="16"/>
        <item x="27"/>
        <item x="18"/>
        <item x="4"/>
        <item x="28"/>
        <item x="26"/>
        <item x="24"/>
        <item x="22"/>
        <item x="11"/>
        <item x="9"/>
        <item x="7"/>
        <item x="2"/>
        <item x="3"/>
        <item x="8"/>
        <item x="14"/>
        <item x="6"/>
        <item x="12"/>
        <item x="10"/>
        <item x="17"/>
        <item x="19"/>
        <item x="0"/>
        <item x="23"/>
        <item x="20"/>
        <item x="25"/>
        <item t="default"/>
      </items>
    </pivotField>
    <pivotField showAll="0"/>
    <pivotField showAll="0"/>
    <pivotField axis="axisRow" showAll="0">
      <items count="7">
        <item x="3"/>
        <item x="4"/>
        <item x="2"/>
        <item x="0"/>
        <item x="5"/>
        <item x="1"/>
        <item t="default"/>
      </items>
    </pivotField>
    <pivotField showAll="0"/>
    <pivotField dataField="1" showAll="0"/>
    <pivotField showAll="0"/>
    <pivotField dataField="1" showAll="0"/>
    <pivotField showAll="0"/>
    <pivotField dataField="1" showAll="0"/>
    <pivotField showAll="0"/>
  </pivotFields>
  <rowFields count="1">
    <field x="8"/>
  </rowFields>
  <rowItems count="7">
    <i>
      <x/>
    </i>
    <i>
      <x v="1"/>
    </i>
    <i>
      <x v="2"/>
    </i>
    <i>
      <x v="3"/>
    </i>
    <i>
      <x v="4"/>
    </i>
    <i>
      <x v="5"/>
    </i>
    <i t="grand">
      <x/>
    </i>
  </rowItems>
  <colFields count="1">
    <field x="-2"/>
  </colFields>
  <colItems count="3">
    <i>
      <x/>
    </i>
    <i i="1">
      <x v="1"/>
    </i>
    <i i="2">
      <x v="2"/>
    </i>
  </colItems>
  <dataFields count="3">
    <dataField name="Sum of Sales" fld="12" baseField="0" baseItem="0"/>
    <dataField name="Sum of Profit" fld="14" baseField="0" baseItem="0"/>
    <dataField name="Sum of Quantity"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B8850B8-14A5-4473-905C-349A422A3E48}" name="PivotTable1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A29:D34" firstHeaderRow="0" firstDataRow="1" firstDataCol="1"/>
  <pivotFields count="16">
    <pivotField showAll="0"/>
    <pivotField showAll="0"/>
    <pivotField showAll="0"/>
    <pivotField numFmtId="14" showAll="0"/>
    <pivotField axis="axisRow" showAll="0">
      <items count="5">
        <item x="2"/>
        <item x="0"/>
        <item x="1"/>
        <item x="3"/>
        <item t="default"/>
      </items>
    </pivotField>
    <pivotField showAll="0">
      <items count="31">
        <item x="29"/>
        <item x="1"/>
        <item x="13"/>
        <item x="5"/>
        <item x="21"/>
        <item x="15"/>
        <item x="16"/>
        <item x="27"/>
        <item x="18"/>
        <item x="4"/>
        <item x="28"/>
        <item x="26"/>
        <item x="24"/>
        <item x="22"/>
        <item x="11"/>
        <item x="9"/>
        <item x="7"/>
        <item x="2"/>
        <item x="3"/>
        <item x="8"/>
        <item x="14"/>
        <item x="6"/>
        <item x="12"/>
        <item x="10"/>
        <item x="17"/>
        <item x="19"/>
        <item x="0"/>
        <item x="23"/>
        <item x="20"/>
        <item x="25"/>
        <item t="default"/>
      </items>
    </pivotField>
    <pivotField showAll="0"/>
    <pivotField showAll="0"/>
    <pivotField showAll="0"/>
    <pivotField showAll="0"/>
    <pivotField dataField="1" showAll="0"/>
    <pivotField showAll="0"/>
    <pivotField dataField="1" showAll="0"/>
    <pivotField showAll="0"/>
    <pivotField dataField="1" showAll="0"/>
    <pivotField showAll="0"/>
  </pivotFields>
  <rowFields count="1">
    <field x="4"/>
  </rowFields>
  <rowItems count="5">
    <i>
      <x/>
    </i>
    <i>
      <x v="1"/>
    </i>
    <i>
      <x v="2"/>
    </i>
    <i>
      <x v="3"/>
    </i>
    <i t="grand">
      <x/>
    </i>
  </rowItems>
  <colFields count="1">
    <field x="-2"/>
  </colFields>
  <colItems count="3">
    <i>
      <x/>
    </i>
    <i i="1">
      <x v="1"/>
    </i>
    <i i="2">
      <x v="2"/>
    </i>
  </colItems>
  <dataFields count="3">
    <dataField name="Sum of Sales" fld="12" showDataAs="percentOfTotal" baseField="0" baseItem="0" numFmtId="10"/>
    <dataField name="Sum of Profit" fld="14" baseField="0" baseItem="0"/>
    <dataField name="Sum of Quantity"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9E363E9-0302-42AC-BA4C-951DA9543BEA}" name="PivotTable1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s">
  <location ref="A38:D68" firstHeaderRow="0" firstDataRow="1" firstDataCol="1"/>
  <pivotFields count="16">
    <pivotField showAll="0"/>
    <pivotField showAll="0"/>
    <pivotField showAll="0"/>
    <pivotField numFmtId="14" showAll="0"/>
    <pivotField showAll="0"/>
    <pivotField axis="axisRow" showAll="0" sortType="descending">
      <items count="31">
        <item x="29"/>
        <item x="1"/>
        <item x="13"/>
        <item x="5"/>
        <item x="21"/>
        <item x="15"/>
        <item x="16"/>
        <item x="27"/>
        <item x="18"/>
        <item x="4"/>
        <item x="28"/>
        <item x="26"/>
        <item x="24"/>
        <item x="22"/>
        <item x="11"/>
        <item x="9"/>
        <item x="7"/>
        <item x="2"/>
        <item h="1" x="3"/>
        <item x="8"/>
        <item x="14"/>
        <item x="6"/>
        <item x="12"/>
        <item x="10"/>
        <item x="17"/>
        <item x="19"/>
        <item x="0"/>
        <item x="23"/>
        <item x="20"/>
        <item x="2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dataField="1" showAll="0"/>
    <pivotField showAll="0"/>
    <pivotField dataField="1" showAll="0"/>
    <pivotField showAll="0"/>
  </pivotFields>
  <rowFields count="1">
    <field x="5"/>
  </rowFields>
  <rowItems count="30">
    <i>
      <x v="2"/>
    </i>
    <i>
      <x v="20"/>
    </i>
    <i>
      <x v="16"/>
    </i>
    <i>
      <x v="19"/>
    </i>
    <i>
      <x v="26"/>
    </i>
    <i>
      <x v="21"/>
    </i>
    <i>
      <x v="11"/>
    </i>
    <i>
      <x v="7"/>
    </i>
    <i>
      <x v="3"/>
    </i>
    <i>
      <x v="15"/>
    </i>
    <i>
      <x v="14"/>
    </i>
    <i>
      <x v="24"/>
    </i>
    <i>
      <x v="5"/>
    </i>
    <i>
      <x v="1"/>
    </i>
    <i>
      <x v="8"/>
    </i>
    <i>
      <x/>
    </i>
    <i>
      <x v="28"/>
    </i>
    <i>
      <x v="23"/>
    </i>
    <i>
      <x v="9"/>
    </i>
    <i>
      <x v="27"/>
    </i>
    <i>
      <x v="22"/>
    </i>
    <i>
      <x v="4"/>
    </i>
    <i>
      <x v="29"/>
    </i>
    <i>
      <x v="13"/>
    </i>
    <i>
      <x v="25"/>
    </i>
    <i>
      <x v="6"/>
    </i>
    <i>
      <x v="10"/>
    </i>
    <i>
      <x v="12"/>
    </i>
    <i>
      <x v="17"/>
    </i>
    <i t="grand">
      <x/>
    </i>
  </rowItems>
  <colFields count="1">
    <field x="-2"/>
  </colFields>
  <colItems count="3">
    <i>
      <x/>
    </i>
    <i i="1">
      <x v="1"/>
    </i>
    <i i="2">
      <x v="2"/>
    </i>
  </colItems>
  <dataFields count="3">
    <dataField name="Sum of Sales" fld="12" baseField="0" baseItem="0"/>
    <dataField name="Sum of Profit" fld="14" baseField="0" baseItem="0"/>
    <dataField name="Sum of Quantity"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B53B952-DAEF-4F2C-86B2-40C216C0253F}" name="PivotTable1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Channel">
  <location ref="A90:D93" firstHeaderRow="0" firstDataRow="1" firstDataCol="1"/>
  <pivotFields count="16">
    <pivotField showAll="0"/>
    <pivotField showAll="0"/>
    <pivotField showAll="0"/>
    <pivotField numFmtId="14" showAll="0"/>
    <pivotField showAll="0"/>
    <pivotField showAll="0"/>
    <pivotField showAll="0"/>
    <pivotField showAll="0"/>
    <pivotField showAll="0"/>
    <pivotField showAll="0"/>
    <pivotField dataField="1" showAll="0"/>
    <pivotField showAll="0"/>
    <pivotField dataField="1" showAll="0"/>
    <pivotField showAll="0"/>
    <pivotField dataField="1" showAll="0"/>
    <pivotField axis="axisRow" showAll="0">
      <items count="3">
        <item x="1"/>
        <item x="0"/>
        <item t="default"/>
      </items>
    </pivotField>
  </pivotFields>
  <rowFields count="1">
    <field x="15"/>
  </rowFields>
  <rowItems count="3">
    <i>
      <x/>
    </i>
    <i>
      <x v="1"/>
    </i>
    <i t="grand">
      <x/>
    </i>
  </rowItems>
  <colFields count="1">
    <field x="-2"/>
  </colFields>
  <colItems count="3">
    <i>
      <x/>
    </i>
    <i i="1">
      <x v="1"/>
    </i>
    <i i="2">
      <x v="2"/>
    </i>
  </colItems>
  <dataFields count="3">
    <dataField name="Sum of Sales" fld="12" baseField="0" baseItem="0"/>
    <dataField name="Sum of Profit" fld="14" baseField="0" baseItem="0"/>
    <dataField name="Sum of Quantity"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698CAF5-A69E-4C91-B8B3-BE080D3D8AB8}" name="PivotTable1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nth">
  <location ref="A73:D86" firstHeaderRow="0" firstDataRow="1" firstDataCol="1"/>
  <pivotFields count="16">
    <pivotField showAll="0"/>
    <pivotField showAll="0"/>
    <pivotField axis="axisRow" showAll="0" sortType="ascending">
      <items count="13">
        <item x="4"/>
        <item x="10"/>
        <item x="0"/>
        <item x="3"/>
        <item x="8"/>
        <item x="6"/>
        <item x="7"/>
        <item x="2"/>
        <item x="11"/>
        <item x="1"/>
        <item x="9"/>
        <item x="5"/>
        <item t="default"/>
      </items>
    </pivotField>
    <pivotField numFmtId="14" showAll="0"/>
    <pivotField showAll="0"/>
    <pivotField showAll="0"/>
    <pivotField showAll="0"/>
    <pivotField showAll="0"/>
    <pivotField showAll="0"/>
    <pivotField showAll="0"/>
    <pivotField dataField="1" showAll="0"/>
    <pivotField showAll="0"/>
    <pivotField dataField="1" showAll="0"/>
    <pivotField showAll="0"/>
    <pivotField dataField="1" showAll="0"/>
    <pivotField showAll="0"/>
  </pivotFields>
  <rowFields count="1">
    <field x="2"/>
  </rowFields>
  <rowItems count="13">
    <i>
      <x/>
    </i>
    <i>
      <x v="1"/>
    </i>
    <i>
      <x v="2"/>
    </i>
    <i>
      <x v="3"/>
    </i>
    <i>
      <x v="4"/>
    </i>
    <i>
      <x v="5"/>
    </i>
    <i>
      <x v="6"/>
    </i>
    <i>
      <x v="7"/>
    </i>
    <i>
      <x v="8"/>
    </i>
    <i>
      <x v="9"/>
    </i>
    <i>
      <x v="10"/>
    </i>
    <i>
      <x v="11"/>
    </i>
    <i t="grand">
      <x/>
    </i>
  </rowItems>
  <colFields count="1">
    <field x="-2"/>
  </colFields>
  <colItems count="3">
    <i>
      <x/>
    </i>
    <i i="1">
      <x v="1"/>
    </i>
    <i i="2">
      <x v="2"/>
    </i>
  </colItems>
  <dataFields count="3">
    <dataField name="Sum of Sales" fld="12" baseField="0" baseItem="0"/>
    <dataField name="Sum of Profit" fld="14" baseField="0" baseItem="0"/>
    <dataField name="Sum of Quantity"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D7D7F3C-5FE3-4228-8809-EAC6A84ADDF2}"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6:D57" firstHeaderRow="0" firstDataRow="1" firstDataCol="0"/>
  <pivotFields count="16">
    <pivotField dataField="1" showAll="0">
      <items count="1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t="default"/>
      </items>
    </pivotField>
    <pivotField showAll="0"/>
    <pivotField showAll="0"/>
    <pivotField numFmtId="14" showAll="0"/>
    <pivotField showAll="0"/>
    <pivotField showAll="0"/>
    <pivotField showAll="0"/>
    <pivotField showAll="0"/>
    <pivotField showAll="0"/>
    <pivotField showAll="0"/>
    <pivotField dataField="1" showAll="0"/>
    <pivotField showAll="0"/>
    <pivotField dataField="1" showAll="0"/>
    <pivotField showAll="0"/>
    <pivotField dataField="1" showAll="0"/>
    <pivotField showAll="0"/>
  </pivotFields>
  <rowItems count="1">
    <i/>
  </rowItems>
  <colFields count="1">
    <field x="-2"/>
  </colFields>
  <colItems count="4">
    <i>
      <x/>
    </i>
    <i i="1">
      <x v="1"/>
    </i>
    <i i="2">
      <x v="2"/>
    </i>
    <i i="3">
      <x v="3"/>
    </i>
  </colItems>
  <dataFields count="4">
    <dataField name="Sum of Sales" fld="12" baseField="0" baseItem="0"/>
    <dataField name="Sum of Profit" fld="14" baseField="0" baseItem="0"/>
    <dataField name="Sum of Quantity" fld="10" baseField="0" baseItem="0"/>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DA3D111-0909-4569-A6EA-BC112CC7C14D}" name="PivotTable2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Customer">
  <location ref="A42:B53" firstHeaderRow="1" firstDataRow="1" firstDataCol="1"/>
  <pivotFields count="16">
    <pivotField showAll="0"/>
    <pivotField showAll="0"/>
    <pivotField showAll="0">
      <items count="13">
        <item x="4"/>
        <item x="10"/>
        <item x="0"/>
        <item x="3"/>
        <item x="8"/>
        <item x="6"/>
        <item x="7"/>
        <item x="2"/>
        <item x="11"/>
        <item x="1"/>
        <item x="9"/>
        <item x="5"/>
        <item t="default"/>
      </items>
    </pivotField>
    <pivotField numFmtId="14" showAll="0"/>
    <pivotField showAll="0">
      <items count="5">
        <item x="2"/>
        <item x="0"/>
        <item x="1"/>
        <item x="3"/>
        <item t="default"/>
      </items>
    </pivotField>
    <pivotField axis="axisRow" showAll="0" measureFilter="1" sortType="ascending">
      <items count="31">
        <item x="29"/>
        <item x="1"/>
        <item x="13"/>
        <item x="5"/>
        <item x="21"/>
        <item x="15"/>
        <item x="16"/>
        <item x="27"/>
        <item x="18"/>
        <item x="4"/>
        <item x="28"/>
        <item x="26"/>
        <item x="24"/>
        <item x="22"/>
        <item x="11"/>
        <item x="9"/>
        <item x="7"/>
        <item x="2"/>
        <item x="3"/>
        <item x="8"/>
        <item x="14"/>
        <item x="6"/>
        <item x="12"/>
        <item x="10"/>
        <item x="17"/>
        <item x="19"/>
        <item x="0"/>
        <item x="23"/>
        <item x="20"/>
        <item x="25"/>
        <item t="default"/>
      </items>
      <autoSortScope>
        <pivotArea dataOnly="0" outline="0" fieldPosition="0">
          <references count="1">
            <reference field="4294967294" count="1" selected="0">
              <x v="0"/>
            </reference>
          </references>
        </pivotArea>
      </autoSortScope>
    </pivotField>
    <pivotField showAll="0"/>
    <pivotField showAll="0"/>
    <pivotField showAll="0">
      <items count="7">
        <item x="3"/>
        <item x="4"/>
        <item x="2"/>
        <item x="0"/>
        <item x="5"/>
        <item x="1"/>
        <item t="default"/>
      </items>
    </pivotField>
    <pivotField showAll="0"/>
    <pivotField showAll="0"/>
    <pivotField showAll="0"/>
    <pivotField dataField="1" showAll="0"/>
    <pivotField showAll="0"/>
    <pivotField showAll="0"/>
    <pivotField showAll="0"/>
  </pivotFields>
  <rowFields count="1">
    <field x="5"/>
  </rowFields>
  <rowItems count="11">
    <i>
      <x v="15"/>
    </i>
    <i>
      <x v="3"/>
    </i>
    <i>
      <x v="7"/>
    </i>
    <i>
      <x v="11"/>
    </i>
    <i>
      <x v="21"/>
    </i>
    <i>
      <x v="26"/>
    </i>
    <i>
      <x v="19"/>
    </i>
    <i>
      <x v="16"/>
    </i>
    <i>
      <x v="20"/>
    </i>
    <i>
      <x v="2"/>
    </i>
    <i t="grand">
      <x/>
    </i>
  </rowItems>
  <colItems count="1">
    <i/>
  </colItems>
  <dataFields count="1">
    <dataField name="Sum of Sales" fld="12" baseField="0" baseItem="0"/>
  </dataFields>
  <formats count="2">
    <format dxfId="7">
      <pivotArea dataOnly="0" labelOnly="1" outline="0" axis="axisValues" fieldPosition="0"/>
    </format>
    <format dxfId="5">
      <pivotArea collapsedLevelsAreSubtotals="1" fieldPosition="0">
        <references count="1">
          <reference field="5" count="10">
            <x v="2"/>
            <x v="3"/>
            <x v="7"/>
            <x v="11"/>
            <x v="15"/>
            <x v="16"/>
            <x v="19"/>
            <x v="20"/>
            <x v="21"/>
            <x v="26"/>
          </reference>
        </references>
      </pivotArea>
    </format>
  </formats>
  <chartFormats count="2">
    <chartFormat chart="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8528556-05BE-4DF2-85AB-CC8324A7D069}" name="PivotTable2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ategory">
  <location ref="A33:B40" firstHeaderRow="1" firstDataRow="1" firstDataCol="1"/>
  <pivotFields count="16">
    <pivotField showAll="0"/>
    <pivotField showAll="0"/>
    <pivotField showAll="0">
      <items count="13">
        <item x="4"/>
        <item x="10"/>
        <item x="0"/>
        <item x="3"/>
        <item x="8"/>
        <item x="6"/>
        <item x="7"/>
        <item x="2"/>
        <item x="11"/>
        <item x="1"/>
        <item x="9"/>
        <item x="5"/>
        <item t="default"/>
      </items>
    </pivotField>
    <pivotField numFmtId="14" showAll="0"/>
    <pivotField showAll="0">
      <items count="5">
        <item x="2"/>
        <item x="0"/>
        <item x="1"/>
        <item x="3"/>
        <item t="default"/>
      </items>
    </pivotField>
    <pivotField showAll="0">
      <items count="31">
        <item x="29"/>
        <item x="1"/>
        <item x="13"/>
        <item x="5"/>
        <item x="21"/>
        <item x="15"/>
        <item x="16"/>
        <item x="27"/>
        <item x="18"/>
        <item x="4"/>
        <item x="28"/>
        <item x="26"/>
        <item x="24"/>
        <item x="22"/>
        <item x="11"/>
        <item x="9"/>
        <item x="7"/>
        <item x="2"/>
        <item x="3"/>
        <item x="8"/>
        <item x="14"/>
        <item x="6"/>
        <item x="12"/>
        <item x="10"/>
        <item x="17"/>
        <item x="19"/>
        <item x="0"/>
        <item x="23"/>
        <item x="20"/>
        <item x="25"/>
        <item t="default"/>
      </items>
    </pivotField>
    <pivotField showAll="0"/>
    <pivotField showAll="0"/>
    <pivotField axis="axisRow" showAll="0" sortType="descending">
      <items count="7">
        <item x="3"/>
        <item x="4"/>
        <item x="2"/>
        <item x="0"/>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s>
  <rowFields count="1">
    <field x="8"/>
  </rowFields>
  <rowItems count="7">
    <i>
      <x v="1"/>
    </i>
    <i>
      <x v="4"/>
    </i>
    <i>
      <x v="2"/>
    </i>
    <i>
      <x v="3"/>
    </i>
    <i>
      <x v="5"/>
    </i>
    <i>
      <x/>
    </i>
    <i t="grand">
      <x/>
    </i>
  </rowItems>
  <colItems count="1">
    <i/>
  </colItems>
  <dataFields count="1">
    <dataField name="Sum of Sales" fld="12" baseField="0" baseItem="0"/>
  </dataFields>
  <formats count="1">
    <format dxfId="3">
      <pivotArea collapsedLevelsAreSubtotals="1" fieldPosition="0">
        <references count="1">
          <reference field="8" count="0"/>
        </references>
      </pivotArea>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06B8429-DD8A-4A44-99D0-AA59E1D66F67}" name="PivotTable1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Region">
  <location ref="A20:B25" firstHeaderRow="1" firstDataRow="1" firstDataCol="1"/>
  <pivotFields count="16">
    <pivotField showAll="0"/>
    <pivotField showAll="0"/>
    <pivotField showAll="0">
      <items count="13">
        <item x="4"/>
        <item x="10"/>
        <item x="0"/>
        <item x="3"/>
        <item x="8"/>
        <item x="6"/>
        <item x="7"/>
        <item x="2"/>
        <item x="11"/>
        <item x="1"/>
        <item x="9"/>
        <item x="5"/>
        <item t="default"/>
      </items>
    </pivotField>
    <pivotField numFmtId="14" showAll="0"/>
    <pivotField axis="axisRow" showAll="0" sortType="ascending">
      <items count="5">
        <item x="2"/>
        <item x="0"/>
        <item x="1"/>
        <item x="3"/>
        <item t="default"/>
      </items>
      <autoSortScope>
        <pivotArea dataOnly="0" outline="0" fieldPosition="0">
          <references count="1">
            <reference field="4294967294" count="1" selected="0">
              <x v="0"/>
            </reference>
          </references>
        </pivotArea>
      </autoSortScope>
    </pivotField>
    <pivotField showAll="0">
      <items count="31">
        <item x="29"/>
        <item x="1"/>
        <item x="13"/>
        <item x="5"/>
        <item x="21"/>
        <item x="15"/>
        <item x="16"/>
        <item x="27"/>
        <item x="18"/>
        <item x="4"/>
        <item x="28"/>
        <item x="26"/>
        <item x="24"/>
        <item x="22"/>
        <item x="11"/>
        <item x="9"/>
        <item x="7"/>
        <item x="2"/>
        <item x="3"/>
        <item x="8"/>
        <item x="14"/>
        <item x="6"/>
        <item x="12"/>
        <item x="10"/>
        <item x="17"/>
        <item x="19"/>
        <item x="0"/>
        <item x="23"/>
        <item x="20"/>
        <item x="25"/>
        <item t="default"/>
      </items>
    </pivotField>
    <pivotField showAll="0"/>
    <pivotField showAll="0"/>
    <pivotField showAll="0">
      <items count="7">
        <item x="3"/>
        <item x="4"/>
        <item x="2"/>
        <item x="0"/>
        <item x="5"/>
        <item x="1"/>
        <item t="default"/>
      </items>
    </pivotField>
    <pivotField showAll="0"/>
    <pivotField showAll="0"/>
    <pivotField showAll="0"/>
    <pivotField dataField="1" showAll="0"/>
    <pivotField showAll="0"/>
    <pivotField showAll="0"/>
    <pivotField showAll="0"/>
  </pivotFields>
  <rowFields count="1">
    <field x="4"/>
  </rowFields>
  <rowItems count="5">
    <i>
      <x v="1"/>
    </i>
    <i>
      <x v="3"/>
    </i>
    <i>
      <x/>
    </i>
    <i>
      <x v="2"/>
    </i>
    <i t="grand">
      <x/>
    </i>
  </rowItems>
  <colItems count="1">
    <i/>
  </colItems>
  <dataFields count="1">
    <dataField name="Sum of Sales" fld="12" baseField="0" baseItem="0"/>
  </dataFields>
  <formats count="1">
    <format dxfId="2">
      <pivotArea collapsedLevelsAreSubtotals="1" fieldPosition="0">
        <references count="1">
          <reference field="4" count="0"/>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4241BF8-465E-43A1-B7E6-803AEC596BCE}" name="PivotTable1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5" rowHeaderCaption="Month">
  <location ref="A3:B16" firstHeaderRow="1" firstDataRow="1" firstDataCol="1"/>
  <pivotFields count="16">
    <pivotField showAll="0"/>
    <pivotField showAll="0"/>
    <pivotField axis="axisRow" showAll="0">
      <items count="13">
        <item x="4"/>
        <item x="10"/>
        <item x="0"/>
        <item x="3"/>
        <item x="8"/>
        <item x="6"/>
        <item x="7"/>
        <item x="2"/>
        <item x="11"/>
        <item x="1"/>
        <item x="9"/>
        <item x="5"/>
        <item t="default"/>
      </items>
    </pivotField>
    <pivotField showAll="0"/>
    <pivotField showAll="0" sortType="de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7">
        <item x="3"/>
        <item x="4"/>
        <item x="2"/>
        <item x="0"/>
        <item x="5"/>
        <item x="1"/>
        <item t="default"/>
      </items>
    </pivotField>
    <pivotField showAll="0"/>
    <pivotField showAll="0"/>
    <pivotField showAll="0"/>
    <pivotField dataField="1" showAll="0"/>
    <pivotField showAll="0"/>
    <pivotField showAll="0"/>
    <pivotField showAll="0"/>
  </pivotFields>
  <rowFields count="1">
    <field x="2"/>
  </rowFields>
  <rowItems count="13">
    <i>
      <x/>
    </i>
    <i>
      <x v="1"/>
    </i>
    <i>
      <x v="2"/>
    </i>
    <i>
      <x v="3"/>
    </i>
    <i>
      <x v="4"/>
    </i>
    <i>
      <x v="5"/>
    </i>
    <i>
      <x v="6"/>
    </i>
    <i>
      <x v="7"/>
    </i>
    <i>
      <x v="8"/>
    </i>
    <i>
      <x v="9"/>
    </i>
    <i>
      <x v="10"/>
    </i>
    <i>
      <x v="11"/>
    </i>
    <i t="grand">
      <x/>
    </i>
  </rowItems>
  <colItems count="1">
    <i/>
  </colItems>
  <dataFields count="1">
    <dataField name="Sum of Sales" fld="12" baseField="0" baseItem="0"/>
  </dataFields>
  <formats count="1">
    <format dxfId="1">
      <pivotArea collapsedLevelsAreSubtotals="1" fieldPosition="0">
        <references count="1">
          <reference field="2" count="0"/>
        </references>
      </pivotArea>
    </format>
  </formats>
  <chartFormats count="2">
    <chartFormat chart="33"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9DDAD620-FCAC-4532-B812-F6DC74FDC548}" sourceName="Month">
  <pivotTables>
    <pivotTable tabId="15" name="PivotTable19"/>
    <pivotTable tabId="15" name="PivotTable20"/>
    <pivotTable tabId="15" name="PivotTable21"/>
    <pivotTable tabId="3" name="PivotTable1"/>
  </pivotTables>
  <data>
    <tabular pivotCacheId="604007104">
      <items count="12">
        <i x="4" s="1"/>
        <i x="10" s="1"/>
        <i x="0" s="1"/>
        <i x="3" s="1"/>
        <i x="8" s="1"/>
        <i x="6" s="1"/>
        <i x="7" s="1"/>
        <i x="2" s="1"/>
        <i x="11" s="1"/>
        <i x="1" s="1"/>
        <i x="9"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7428C20-F190-4C5B-9458-1001BC9587A5}" sourceName="Region">
  <pivotTables>
    <pivotTable tabId="15" name="PivotTable18"/>
    <pivotTable tabId="15" name="PivotTable20"/>
    <pivotTable tabId="15" name="PivotTable21"/>
    <pivotTable tabId="3" name="PivotTable1"/>
  </pivotTables>
  <data>
    <tabular pivotCacheId="604007104">
      <items count="4">
        <i x="2"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 xr10:uid="{4A9F45DB-CCD9-49B9-BA83-2B0063D9E281}" sourceName="Customer">
  <pivotTables>
    <pivotTable tabId="15" name="PivotTable19"/>
    <pivotTable tabId="15" name="PivotTable20"/>
    <pivotTable tabId="3" name="PivotTable1"/>
  </pivotTables>
  <data>
    <tabular pivotCacheId="604007104">
      <items count="30">
        <i x="29" s="1"/>
        <i x="1" s="1"/>
        <i x="13" s="1"/>
        <i x="5" s="1"/>
        <i x="21" s="1"/>
        <i x="15" s="1"/>
        <i x="16" s="1"/>
        <i x="27" s="1"/>
        <i x="18" s="1"/>
        <i x="4" s="1"/>
        <i x="28" s="1"/>
        <i x="26" s="1"/>
        <i x="24" s="1"/>
        <i x="22" s="1"/>
        <i x="11" s="1"/>
        <i x="9" s="1"/>
        <i x="7" s="1"/>
        <i x="2" s="1"/>
        <i x="3" s="1"/>
        <i x="8" s="1"/>
        <i x="14" s="1"/>
        <i x="6" s="1"/>
        <i x="12" s="1"/>
        <i x="10" s="1"/>
        <i x="17" s="1"/>
        <i x="19" s="1"/>
        <i x="0" s="1"/>
        <i x="23" s="1"/>
        <i x="20" s="1"/>
        <i x="2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4E8948B-2D0A-469C-90B6-C866C36688BF}" sourceName="Category">
  <pivotTables>
    <pivotTable tabId="15" name="PivotTable19"/>
    <pivotTable tabId="15" name="PivotTable18"/>
    <pivotTable tabId="15" name="PivotTable21"/>
    <pivotTable tabId="3" name="PivotTable1"/>
  </pivotTables>
  <data>
    <tabular pivotCacheId="604007104">
      <items count="6">
        <i x="3" s="1"/>
        <i x="4" s="1"/>
        <i x="2" s="1"/>
        <i x="0" s="1"/>
        <i x="5"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F00A64F8-FCBE-4DE4-8E05-0FB306928D1F}" cache="Slicer_Month" caption="Month" rowHeight="241300"/>
  <slicer name="Region" xr10:uid="{12B10C74-E706-48E6-A9B8-AC43A73F3053}" cache="Slicer_Region" caption="Region" startItem="2" rowHeight="241300"/>
  <slicer name="Customer" xr10:uid="{50864EE8-38F9-4B6E-84DB-CD2D50584780}" cache="Slicer_Customer" caption="Customer" rowHeight="241300"/>
  <slicer name="Category" xr10:uid="{B1E1709C-FD1D-4EAD-9041-97FA22B8D175}" cache="Slicer_Category" caption="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6FCF0CE-DAA9-457C-B251-677CF58F22E9}" name="SalesData" displayName="SalesData" ref="A1:P181" totalsRowShown="0" headerRowDxfId="129" dataDxfId="127" headerRowBorderDxfId="128" tableBorderDxfId="126">
  <autoFilter ref="A1:P181" xr:uid="{7397D2F6-9A7F-4D97-8422-76DCC4F12540}"/>
  <tableColumns count="16">
    <tableColumn id="1" xr3:uid="{3F7453E2-7B65-43AB-9FA3-A908B2979D39}" name="Order_ID" dataDxfId="125"/>
    <tableColumn id="16" xr3:uid="{49B1BB5B-6334-407D-BFE7-08B247782B72}" name="monthdate" dataDxfId="124">
      <calculatedColumnFormula>DATE(YEAR(SalesData[[#This Row],[Date]]),MONTH(SalesData[[#This Row],[Date]]),1)</calculatedColumnFormula>
    </tableColumn>
    <tableColumn id="15" xr3:uid="{5A582E2E-05D3-4BEB-A22C-BE52791962F9}" name="Month" dataDxfId="123">
      <calculatedColumnFormula>TEXT(SalesData[[#This Row],[monthdate]],"mmmm")</calculatedColumnFormula>
    </tableColumn>
    <tableColumn id="2" xr3:uid="{61246011-C1A3-4514-8F5F-374C1EA43D06}" name="Date" dataDxfId="122"/>
    <tableColumn id="3" xr3:uid="{F8DC57DD-D2AB-4E39-B8D5-83518F61461E}" name="Region" dataDxfId="121"/>
    <tableColumn id="4" xr3:uid="{0184F806-DC19-426C-9702-424B02413443}" name="Customer" dataDxfId="120"/>
    <tableColumn id="5" xr3:uid="{F01B29AE-5AC5-4BD5-B088-AB1CF43075BE}" name="Product_ID" dataDxfId="119"/>
    <tableColumn id="6" xr3:uid="{6FCED57E-5EAF-4452-AA71-D05A2DFAEAD4}" name="Product" dataDxfId="118"/>
    <tableColumn id="7" xr3:uid="{50AEB074-82AA-45AD-BF5E-AEBEB76BF0DC}" name="Category" dataDxfId="117"/>
    <tableColumn id="8" xr3:uid="{82DA6321-7BAA-4AAB-A026-00231BD809C9}" name="Unit_Price" dataDxfId="116"/>
    <tableColumn id="9" xr3:uid="{C64771B0-69C8-4CBA-ACD5-4E0D4AF91978}" name="Quantity" dataDxfId="115"/>
    <tableColumn id="10" xr3:uid="{F2688C1D-A028-444F-AC50-2DF004854A96}" name="Discount" dataDxfId="114"/>
    <tableColumn id="11" xr3:uid="{33FCE591-EA5E-4605-944D-8E3360993E25}" name="Sales" dataDxfId="113"/>
    <tableColumn id="12" xr3:uid="{9F3C4833-4A54-450C-83EC-CA4EA57E5508}" name="Cost" dataDxfId="112"/>
    <tableColumn id="13" xr3:uid="{5A0B0AF8-E014-4044-8D37-8BED783BA77D}" name="Profit" dataDxfId="111"/>
    <tableColumn id="14" xr3:uid="{D32EE496-DF3F-4D38-B307-10437A9B9E6D}" name="Channel" dataDxfId="110"/>
  </tableColumns>
  <tableStyleInfo name="TableStyleMedium9" showFirstColumn="0" showLastColumn="0" showRowStripes="0"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drawing" Target="../drawings/drawing2.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81"/>
  <sheetViews>
    <sheetView workbookViewId="0">
      <selection activeCell="D38" sqref="D38"/>
    </sheetView>
  </sheetViews>
  <sheetFormatPr defaultRowHeight="14.5" x14ac:dyDescent="0.35"/>
  <cols>
    <col min="2" max="2" width="19.1796875" style="3" customWidth="1"/>
  </cols>
  <sheetData>
    <row r="1" spans="1:14" x14ac:dyDescent="0.35">
      <c r="A1" s="1" t="s">
        <v>0</v>
      </c>
      <c r="B1" s="2" t="s">
        <v>1</v>
      </c>
      <c r="C1" s="1" t="s">
        <v>2</v>
      </c>
      <c r="D1" s="1" t="s">
        <v>3</v>
      </c>
      <c r="E1" s="1" t="s">
        <v>4</v>
      </c>
      <c r="F1" s="1" t="s">
        <v>5</v>
      </c>
      <c r="G1" s="1" t="s">
        <v>6</v>
      </c>
      <c r="H1" s="1" t="s">
        <v>7</v>
      </c>
      <c r="I1" s="1" t="s">
        <v>8</v>
      </c>
      <c r="J1" s="1" t="s">
        <v>9</v>
      </c>
      <c r="K1" s="1" t="s">
        <v>10</v>
      </c>
      <c r="L1" s="1" t="s">
        <v>11</v>
      </c>
      <c r="M1" s="1" t="s">
        <v>12</v>
      </c>
      <c r="N1" s="1" t="s">
        <v>13</v>
      </c>
    </row>
    <row r="2" spans="1:14" x14ac:dyDescent="0.35">
      <c r="A2" t="s">
        <v>14</v>
      </c>
      <c r="B2" s="3">
        <v>46100</v>
      </c>
      <c r="C2" t="s">
        <v>194</v>
      </c>
      <c r="D2" t="s">
        <v>198</v>
      </c>
      <c r="E2" t="s">
        <v>228</v>
      </c>
      <c r="F2" t="s">
        <v>238</v>
      </c>
      <c r="G2" t="s">
        <v>248</v>
      </c>
      <c r="H2">
        <v>1.8</v>
      </c>
      <c r="I2">
        <v>7</v>
      </c>
      <c r="J2">
        <v>0</v>
      </c>
      <c r="K2">
        <v>12.6</v>
      </c>
      <c r="L2">
        <v>9.07</v>
      </c>
      <c r="M2">
        <v>3.53</v>
      </c>
      <c r="N2" t="s">
        <v>254</v>
      </c>
    </row>
    <row r="3" spans="1:14" x14ac:dyDescent="0.35">
      <c r="A3" t="s">
        <v>15</v>
      </c>
      <c r="B3" s="3">
        <v>46321</v>
      </c>
      <c r="C3" t="s">
        <v>195</v>
      </c>
      <c r="D3" t="s">
        <v>199</v>
      </c>
      <c r="E3" t="s">
        <v>228</v>
      </c>
      <c r="F3" t="s">
        <v>238</v>
      </c>
      <c r="G3" t="s">
        <v>248</v>
      </c>
      <c r="H3">
        <v>1.8</v>
      </c>
      <c r="I3">
        <v>1</v>
      </c>
      <c r="J3">
        <v>0.1</v>
      </c>
      <c r="K3">
        <v>1.62</v>
      </c>
      <c r="L3">
        <v>1.3</v>
      </c>
      <c r="M3">
        <v>0.32</v>
      </c>
      <c r="N3" t="s">
        <v>254</v>
      </c>
    </row>
    <row r="4" spans="1:14" x14ac:dyDescent="0.35">
      <c r="A4" t="s">
        <v>16</v>
      </c>
      <c r="B4" s="3">
        <v>46237</v>
      </c>
      <c r="C4" t="s">
        <v>194</v>
      </c>
      <c r="D4" t="s">
        <v>200</v>
      </c>
      <c r="E4" t="s">
        <v>229</v>
      </c>
      <c r="F4" t="s">
        <v>239</v>
      </c>
      <c r="G4" t="s">
        <v>249</v>
      </c>
      <c r="H4">
        <v>2.5</v>
      </c>
      <c r="I4">
        <v>2</v>
      </c>
      <c r="J4">
        <v>0</v>
      </c>
      <c r="K4">
        <v>5</v>
      </c>
      <c r="L4">
        <v>3.5</v>
      </c>
      <c r="M4">
        <v>1.5</v>
      </c>
      <c r="N4" t="s">
        <v>255</v>
      </c>
    </row>
    <row r="5" spans="1:14" x14ac:dyDescent="0.35">
      <c r="A5" t="s">
        <v>17</v>
      </c>
      <c r="B5" s="3">
        <v>46312</v>
      </c>
      <c r="C5" t="s">
        <v>194</v>
      </c>
      <c r="D5" t="s">
        <v>201</v>
      </c>
      <c r="E5" t="s">
        <v>230</v>
      </c>
      <c r="F5" t="s">
        <v>240</v>
      </c>
      <c r="G5" t="s">
        <v>250</v>
      </c>
      <c r="H5">
        <v>1.5</v>
      </c>
      <c r="I5">
        <v>2</v>
      </c>
      <c r="J5">
        <v>0</v>
      </c>
      <c r="K5">
        <v>3</v>
      </c>
      <c r="L5">
        <v>2.34</v>
      </c>
      <c r="M5">
        <v>0.66</v>
      </c>
      <c r="N5" t="s">
        <v>255</v>
      </c>
    </row>
    <row r="6" spans="1:14" x14ac:dyDescent="0.35">
      <c r="A6" t="s">
        <v>18</v>
      </c>
      <c r="B6" s="3">
        <v>46136</v>
      </c>
      <c r="C6" t="s">
        <v>195</v>
      </c>
      <c r="D6" t="s">
        <v>202</v>
      </c>
      <c r="E6" t="s">
        <v>230</v>
      </c>
      <c r="F6" t="s">
        <v>240</v>
      </c>
      <c r="G6" t="s">
        <v>250</v>
      </c>
      <c r="H6">
        <v>1.5</v>
      </c>
      <c r="I6">
        <v>1</v>
      </c>
      <c r="J6">
        <v>0.1</v>
      </c>
      <c r="K6">
        <v>1.35</v>
      </c>
      <c r="L6">
        <v>1.17</v>
      </c>
      <c r="M6">
        <v>0.18</v>
      </c>
      <c r="N6" t="s">
        <v>255</v>
      </c>
    </row>
    <row r="7" spans="1:14" x14ac:dyDescent="0.35">
      <c r="A7" t="s">
        <v>19</v>
      </c>
      <c r="B7" s="3">
        <v>46299</v>
      </c>
      <c r="C7" t="s">
        <v>196</v>
      </c>
      <c r="D7" t="s">
        <v>200</v>
      </c>
      <c r="E7" t="s">
        <v>231</v>
      </c>
      <c r="F7" t="s">
        <v>241</v>
      </c>
      <c r="G7" t="s">
        <v>250</v>
      </c>
      <c r="H7">
        <v>2.8</v>
      </c>
      <c r="I7">
        <v>2</v>
      </c>
      <c r="J7">
        <v>0.1</v>
      </c>
      <c r="K7">
        <v>5.04</v>
      </c>
      <c r="L7">
        <v>4.4800000000000004</v>
      </c>
      <c r="M7">
        <v>0.56000000000000005</v>
      </c>
      <c r="N7" t="s">
        <v>254</v>
      </c>
    </row>
    <row r="8" spans="1:14" x14ac:dyDescent="0.35">
      <c r="A8" t="s">
        <v>20</v>
      </c>
      <c r="B8" s="3">
        <v>46320</v>
      </c>
      <c r="C8" t="s">
        <v>196</v>
      </c>
      <c r="D8" t="s">
        <v>203</v>
      </c>
      <c r="E8" t="s">
        <v>232</v>
      </c>
      <c r="F8" t="s">
        <v>242</v>
      </c>
      <c r="G8" t="s">
        <v>251</v>
      </c>
      <c r="H8">
        <v>1.2</v>
      </c>
      <c r="I8">
        <v>10</v>
      </c>
      <c r="J8">
        <v>0</v>
      </c>
      <c r="K8">
        <v>12</v>
      </c>
      <c r="L8">
        <v>9</v>
      </c>
      <c r="M8">
        <v>3</v>
      </c>
      <c r="N8" t="s">
        <v>254</v>
      </c>
    </row>
    <row r="9" spans="1:14" x14ac:dyDescent="0.35">
      <c r="A9" t="s">
        <v>21</v>
      </c>
      <c r="B9" s="3">
        <v>46053</v>
      </c>
      <c r="C9" t="s">
        <v>197</v>
      </c>
      <c r="D9" t="s">
        <v>204</v>
      </c>
      <c r="E9" t="s">
        <v>233</v>
      </c>
      <c r="F9" t="s">
        <v>243</v>
      </c>
      <c r="G9" t="s">
        <v>252</v>
      </c>
      <c r="H9">
        <v>3.8</v>
      </c>
      <c r="I9">
        <v>10</v>
      </c>
      <c r="J9">
        <v>0</v>
      </c>
      <c r="K9">
        <v>38</v>
      </c>
      <c r="L9">
        <v>26.98</v>
      </c>
      <c r="M9">
        <v>11.02</v>
      </c>
      <c r="N9" t="s">
        <v>255</v>
      </c>
    </row>
    <row r="10" spans="1:14" x14ac:dyDescent="0.35">
      <c r="A10" t="s">
        <v>22</v>
      </c>
      <c r="B10" s="3">
        <v>46261</v>
      </c>
      <c r="C10" t="s">
        <v>196</v>
      </c>
      <c r="D10" t="s">
        <v>202</v>
      </c>
      <c r="E10" t="s">
        <v>228</v>
      </c>
      <c r="F10" t="s">
        <v>238</v>
      </c>
      <c r="G10" t="s">
        <v>248</v>
      </c>
      <c r="H10">
        <v>1.8</v>
      </c>
      <c r="I10">
        <v>10</v>
      </c>
      <c r="J10">
        <v>0.05</v>
      </c>
      <c r="K10">
        <v>17.100000000000001</v>
      </c>
      <c r="L10">
        <v>12.96</v>
      </c>
      <c r="M10">
        <v>4.1399999999999997</v>
      </c>
      <c r="N10" t="s">
        <v>254</v>
      </c>
    </row>
    <row r="11" spans="1:14" x14ac:dyDescent="0.35">
      <c r="A11" t="s">
        <v>23</v>
      </c>
      <c r="B11" s="3">
        <v>46380</v>
      </c>
      <c r="C11" t="s">
        <v>196</v>
      </c>
      <c r="D11" t="s">
        <v>205</v>
      </c>
      <c r="E11" t="s">
        <v>231</v>
      </c>
      <c r="F11" t="s">
        <v>241</v>
      </c>
      <c r="G11" t="s">
        <v>250</v>
      </c>
      <c r="H11">
        <v>2.8</v>
      </c>
      <c r="I11">
        <v>4</v>
      </c>
      <c r="J11">
        <v>0</v>
      </c>
      <c r="K11">
        <v>11.2</v>
      </c>
      <c r="L11">
        <v>8.9600000000000009</v>
      </c>
      <c r="M11">
        <v>2.2400000000000002</v>
      </c>
      <c r="N11" t="s">
        <v>255</v>
      </c>
    </row>
    <row r="12" spans="1:14" x14ac:dyDescent="0.35">
      <c r="A12" t="s">
        <v>24</v>
      </c>
      <c r="B12" s="3">
        <v>46252</v>
      </c>
      <c r="C12" t="s">
        <v>194</v>
      </c>
      <c r="D12" t="s">
        <v>203</v>
      </c>
      <c r="E12" t="s">
        <v>228</v>
      </c>
      <c r="F12" t="s">
        <v>238</v>
      </c>
      <c r="G12" t="s">
        <v>248</v>
      </c>
      <c r="H12">
        <v>1.8</v>
      </c>
      <c r="I12">
        <v>5</v>
      </c>
      <c r="J12">
        <v>0.1</v>
      </c>
      <c r="K12">
        <v>8.1</v>
      </c>
      <c r="L12">
        <v>6.48</v>
      </c>
      <c r="M12">
        <v>1.62</v>
      </c>
      <c r="N12" t="s">
        <v>255</v>
      </c>
    </row>
    <row r="13" spans="1:14" x14ac:dyDescent="0.35">
      <c r="A13" t="s">
        <v>25</v>
      </c>
      <c r="B13" s="3">
        <v>46198</v>
      </c>
      <c r="C13" t="s">
        <v>197</v>
      </c>
      <c r="D13" t="s">
        <v>199</v>
      </c>
      <c r="E13" t="s">
        <v>231</v>
      </c>
      <c r="F13" t="s">
        <v>241</v>
      </c>
      <c r="G13" t="s">
        <v>250</v>
      </c>
      <c r="H13">
        <v>2.8</v>
      </c>
      <c r="I13">
        <v>3</v>
      </c>
      <c r="J13">
        <v>0.05</v>
      </c>
      <c r="K13">
        <v>7.98</v>
      </c>
      <c r="L13">
        <v>6.72</v>
      </c>
      <c r="M13">
        <v>1.26</v>
      </c>
      <c r="N13" t="s">
        <v>254</v>
      </c>
    </row>
    <row r="14" spans="1:14" x14ac:dyDescent="0.35">
      <c r="A14" t="s">
        <v>26</v>
      </c>
      <c r="B14" s="3">
        <v>46316</v>
      </c>
      <c r="C14" t="s">
        <v>196</v>
      </c>
      <c r="D14" t="s">
        <v>206</v>
      </c>
      <c r="E14" t="s">
        <v>234</v>
      </c>
      <c r="F14" t="s">
        <v>244</v>
      </c>
      <c r="G14" t="s">
        <v>252</v>
      </c>
      <c r="H14">
        <v>5.5</v>
      </c>
      <c r="I14">
        <v>6</v>
      </c>
      <c r="J14">
        <v>0</v>
      </c>
      <c r="K14">
        <v>33</v>
      </c>
      <c r="L14">
        <v>24.09</v>
      </c>
      <c r="M14">
        <v>8.91</v>
      </c>
      <c r="N14" t="s">
        <v>255</v>
      </c>
    </row>
    <row r="15" spans="1:14" x14ac:dyDescent="0.35">
      <c r="A15" t="s">
        <v>27</v>
      </c>
      <c r="B15" s="3">
        <v>46256</v>
      </c>
      <c r="C15" t="s">
        <v>196</v>
      </c>
      <c r="D15" t="s">
        <v>207</v>
      </c>
      <c r="E15" t="s">
        <v>233</v>
      </c>
      <c r="F15" t="s">
        <v>243</v>
      </c>
      <c r="G15" t="s">
        <v>252</v>
      </c>
      <c r="H15">
        <v>3.8</v>
      </c>
      <c r="I15">
        <v>2</v>
      </c>
      <c r="J15">
        <v>0</v>
      </c>
      <c r="K15">
        <v>7.6</v>
      </c>
      <c r="L15">
        <v>5.4</v>
      </c>
      <c r="M15">
        <v>2.2000000000000002</v>
      </c>
      <c r="N15" t="s">
        <v>254</v>
      </c>
    </row>
    <row r="16" spans="1:14" x14ac:dyDescent="0.35">
      <c r="A16" t="s">
        <v>28</v>
      </c>
      <c r="B16" s="3">
        <v>46382</v>
      </c>
      <c r="C16" t="s">
        <v>197</v>
      </c>
      <c r="D16" t="s">
        <v>202</v>
      </c>
      <c r="E16" t="s">
        <v>230</v>
      </c>
      <c r="F16" t="s">
        <v>240</v>
      </c>
      <c r="G16" t="s">
        <v>250</v>
      </c>
      <c r="H16">
        <v>1.5</v>
      </c>
      <c r="I16">
        <v>5</v>
      </c>
      <c r="J16">
        <v>0.1</v>
      </c>
      <c r="K16">
        <v>6.75</v>
      </c>
      <c r="L16">
        <v>5.85</v>
      </c>
      <c r="M16">
        <v>0.9</v>
      </c>
      <c r="N16" t="s">
        <v>255</v>
      </c>
    </row>
    <row r="17" spans="1:14" x14ac:dyDescent="0.35">
      <c r="A17" t="s">
        <v>29</v>
      </c>
      <c r="B17" s="3">
        <v>46034</v>
      </c>
      <c r="C17" t="s">
        <v>195</v>
      </c>
      <c r="D17" t="s">
        <v>206</v>
      </c>
      <c r="E17" t="s">
        <v>228</v>
      </c>
      <c r="F17" t="s">
        <v>238</v>
      </c>
      <c r="G17" t="s">
        <v>248</v>
      </c>
      <c r="H17">
        <v>1.8</v>
      </c>
      <c r="I17">
        <v>8</v>
      </c>
      <c r="J17">
        <v>0</v>
      </c>
      <c r="K17">
        <v>14.4</v>
      </c>
      <c r="L17">
        <v>10.37</v>
      </c>
      <c r="M17">
        <v>4.03</v>
      </c>
      <c r="N17" t="s">
        <v>254</v>
      </c>
    </row>
    <row r="18" spans="1:14" x14ac:dyDescent="0.35">
      <c r="A18" t="s">
        <v>30</v>
      </c>
      <c r="B18" s="3">
        <v>46053</v>
      </c>
      <c r="C18" t="s">
        <v>195</v>
      </c>
      <c r="D18" t="s">
        <v>208</v>
      </c>
      <c r="E18" t="s">
        <v>235</v>
      </c>
      <c r="F18" t="s">
        <v>245</v>
      </c>
      <c r="G18" t="s">
        <v>249</v>
      </c>
      <c r="H18">
        <v>1.4</v>
      </c>
      <c r="I18">
        <v>4</v>
      </c>
      <c r="J18">
        <v>0</v>
      </c>
      <c r="K18">
        <v>5.6</v>
      </c>
      <c r="L18">
        <v>3.81</v>
      </c>
      <c r="M18">
        <v>1.79</v>
      </c>
      <c r="N18" t="s">
        <v>254</v>
      </c>
    </row>
    <row r="19" spans="1:14" x14ac:dyDescent="0.35">
      <c r="A19" t="s">
        <v>31</v>
      </c>
      <c r="B19" s="3">
        <v>46223</v>
      </c>
      <c r="C19" t="s">
        <v>195</v>
      </c>
      <c r="D19" t="s">
        <v>209</v>
      </c>
      <c r="E19" t="s">
        <v>229</v>
      </c>
      <c r="F19" t="s">
        <v>239</v>
      </c>
      <c r="G19" t="s">
        <v>249</v>
      </c>
      <c r="H19">
        <v>2.5</v>
      </c>
      <c r="I19">
        <v>8</v>
      </c>
      <c r="J19">
        <v>0</v>
      </c>
      <c r="K19">
        <v>20</v>
      </c>
      <c r="L19">
        <v>14</v>
      </c>
      <c r="M19">
        <v>6</v>
      </c>
      <c r="N19" t="s">
        <v>255</v>
      </c>
    </row>
    <row r="20" spans="1:14" x14ac:dyDescent="0.35">
      <c r="A20" t="s">
        <v>32</v>
      </c>
      <c r="B20" s="3">
        <v>46165</v>
      </c>
      <c r="C20" t="s">
        <v>196</v>
      </c>
      <c r="D20" t="s">
        <v>210</v>
      </c>
      <c r="E20" t="s">
        <v>234</v>
      </c>
      <c r="F20" t="s">
        <v>244</v>
      </c>
      <c r="G20" t="s">
        <v>252</v>
      </c>
      <c r="H20">
        <v>5.5</v>
      </c>
      <c r="I20">
        <v>3</v>
      </c>
      <c r="J20">
        <v>0.05</v>
      </c>
      <c r="K20">
        <v>15.67</v>
      </c>
      <c r="L20">
        <v>12.04</v>
      </c>
      <c r="M20">
        <v>3.63</v>
      </c>
      <c r="N20" t="s">
        <v>255</v>
      </c>
    </row>
    <row r="21" spans="1:14" x14ac:dyDescent="0.35">
      <c r="A21" t="s">
        <v>33</v>
      </c>
      <c r="B21" s="3">
        <v>46372</v>
      </c>
      <c r="C21" t="s">
        <v>195</v>
      </c>
      <c r="D21" t="s">
        <v>211</v>
      </c>
      <c r="E21" t="s">
        <v>228</v>
      </c>
      <c r="F21" t="s">
        <v>238</v>
      </c>
      <c r="G21" t="s">
        <v>248</v>
      </c>
      <c r="H21">
        <v>1.8</v>
      </c>
      <c r="I21">
        <v>7</v>
      </c>
      <c r="J21">
        <v>0</v>
      </c>
      <c r="K21">
        <v>12.6</v>
      </c>
      <c r="L21">
        <v>9.07</v>
      </c>
      <c r="M21">
        <v>3.53</v>
      </c>
      <c r="N21" t="s">
        <v>254</v>
      </c>
    </row>
    <row r="22" spans="1:14" x14ac:dyDescent="0.35">
      <c r="A22" t="s">
        <v>34</v>
      </c>
      <c r="B22" s="3">
        <v>46141</v>
      </c>
      <c r="C22" t="s">
        <v>194</v>
      </c>
      <c r="D22" t="s">
        <v>207</v>
      </c>
      <c r="E22" t="s">
        <v>231</v>
      </c>
      <c r="F22" t="s">
        <v>241</v>
      </c>
      <c r="G22" t="s">
        <v>250</v>
      </c>
      <c r="H22">
        <v>2.8</v>
      </c>
      <c r="I22">
        <v>11</v>
      </c>
      <c r="J22">
        <v>0</v>
      </c>
      <c r="K22">
        <v>30.8</v>
      </c>
      <c r="L22">
        <v>24.64</v>
      </c>
      <c r="M22">
        <v>6.16</v>
      </c>
      <c r="N22" t="s">
        <v>254</v>
      </c>
    </row>
    <row r="23" spans="1:14" x14ac:dyDescent="0.35">
      <c r="A23" t="s">
        <v>35</v>
      </c>
      <c r="B23" s="3">
        <v>46167</v>
      </c>
      <c r="C23" t="s">
        <v>197</v>
      </c>
      <c r="D23" t="s">
        <v>200</v>
      </c>
      <c r="E23" t="s">
        <v>236</v>
      </c>
      <c r="F23" t="s">
        <v>246</v>
      </c>
      <c r="G23" t="s">
        <v>248</v>
      </c>
      <c r="H23">
        <v>3.2</v>
      </c>
      <c r="I23">
        <v>1</v>
      </c>
      <c r="J23">
        <v>0</v>
      </c>
      <c r="K23">
        <v>3.2</v>
      </c>
      <c r="L23">
        <v>2.4300000000000002</v>
      </c>
      <c r="M23">
        <v>0.77</v>
      </c>
      <c r="N23" t="s">
        <v>255</v>
      </c>
    </row>
    <row r="24" spans="1:14" x14ac:dyDescent="0.35">
      <c r="A24" t="s">
        <v>36</v>
      </c>
      <c r="B24" s="3">
        <v>46312</v>
      </c>
      <c r="C24" t="s">
        <v>194</v>
      </c>
      <c r="D24" t="s">
        <v>209</v>
      </c>
      <c r="E24" t="s">
        <v>233</v>
      </c>
      <c r="F24" t="s">
        <v>243</v>
      </c>
      <c r="G24" t="s">
        <v>252</v>
      </c>
      <c r="H24">
        <v>3.8</v>
      </c>
      <c r="I24">
        <v>6</v>
      </c>
      <c r="J24">
        <v>0</v>
      </c>
      <c r="K24">
        <v>22.8</v>
      </c>
      <c r="L24">
        <v>16.190000000000001</v>
      </c>
      <c r="M24">
        <v>6.61</v>
      </c>
      <c r="N24" t="s">
        <v>255</v>
      </c>
    </row>
    <row r="25" spans="1:14" x14ac:dyDescent="0.35">
      <c r="A25" t="s">
        <v>37</v>
      </c>
      <c r="B25" s="3">
        <v>46227</v>
      </c>
      <c r="C25" t="s">
        <v>197</v>
      </c>
      <c r="D25" t="s">
        <v>212</v>
      </c>
      <c r="E25" t="s">
        <v>229</v>
      </c>
      <c r="F25" t="s">
        <v>239</v>
      </c>
      <c r="G25" t="s">
        <v>249</v>
      </c>
      <c r="H25">
        <v>2.5</v>
      </c>
      <c r="I25">
        <v>7</v>
      </c>
      <c r="J25">
        <v>0</v>
      </c>
      <c r="K25">
        <v>17.5</v>
      </c>
      <c r="L25">
        <v>12.25</v>
      </c>
      <c r="M25">
        <v>5.25</v>
      </c>
      <c r="N25" t="s">
        <v>255</v>
      </c>
    </row>
    <row r="26" spans="1:14" x14ac:dyDescent="0.35">
      <c r="A26" t="s">
        <v>38</v>
      </c>
      <c r="B26" s="3">
        <v>46120</v>
      </c>
      <c r="C26" t="s">
        <v>197</v>
      </c>
      <c r="D26" t="s">
        <v>213</v>
      </c>
      <c r="E26" t="s">
        <v>230</v>
      </c>
      <c r="F26" t="s">
        <v>240</v>
      </c>
      <c r="G26" t="s">
        <v>250</v>
      </c>
      <c r="H26">
        <v>1.5</v>
      </c>
      <c r="I26">
        <v>2</v>
      </c>
      <c r="J26">
        <v>0</v>
      </c>
      <c r="K26">
        <v>3</v>
      </c>
      <c r="L26">
        <v>2.34</v>
      </c>
      <c r="M26">
        <v>0.66</v>
      </c>
      <c r="N26" t="s">
        <v>254</v>
      </c>
    </row>
    <row r="27" spans="1:14" x14ac:dyDescent="0.35">
      <c r="A27" t="s">
        <v>39</v>
      </c>
      <c r="B27" s="3">
        <v>46330</v>
      </c>
      <c r="C27" t="s">
        <v>194</v>
      </c>
      <c r="D27" t="s">
        <v>201</v>
      </c>
      <c r="E27" t="s">
        <v>228</v>
      </c>
      <c r="F27" t="s">
        <v>238</v>
      </c>
      <c r="G27" t="s">
        <v>248</v>
      </c>
      <c r="H27">
        <v>1.8</v>
      </c>
      <c r="I27">
        <v>1</v>
      </c>
      <c r="J27">
        <v>0</v>
      </c>
      <c r="K27">
        <v>1.8</v>
      </c>
      <c r="L27">
        <v>1.3</v>
      </c>
      <c r="M27">
        <v>0.5</v>
      </c>
      <c r="N27" t="s">
        <v>254</v>
      </c>
    </row>
    <row r="28" spans="1:14" x14ac:dyDescent="0.35">
      <c r="A28" t="s">
        <v>40</v>
      </c>
      <c r="B28" s="3">
        <v>46074</v>
      </c>
      <c r="C28" t="s">
        <v>194</v>
      </c>
      <c r="D28" t="s">
        <v>211</v>
      </c>
      <c r="E28" t="s">
        <v>234</v>
      </c>
      <c r="F28" t="s">
        <v>244</v>
      </c>
      <c r="G28" t="s">
        <v>252</v>
      </c>
      <c r="H28">
        <v>5.5</v>
      </c>
      <c r="I28">
        <v>6</v>
      </c>
      <c r="J28">
        <v>0.1</v>
      </c>
      <c r="K28">
        <v>29.7</v>
      </c>
      <c r="L28">
        <v>24.09</v>
      </c>
      <c r="M28">
        <v>5.61</v>
      </c>
      <c r="N28" t="s">
        <v>254</v>
      </c>
    </row>
    <row r="29" spans="1:14" x14ac:dyDescent="0.35">
      <c r="A29" t="s">
        <v>41</v>
      </c>
      <c r="B29" s="3">
        <v>46215</v>
      </c>
      <c r="C29" t="s">
        <v>196</v>
      </c>
      <c r="D29" t="s">
        <v>206</v>
      </c>
      <c r="E29" t="s">
        <v>233</v>
      </c>
      <c r="F29" t="s">
        <v>243</v>
      </c>
      <c r="G29" t="s">
        <v>252</v>
      </c>
      <c r="H29">
        <v>3.8</v>
      </c>
      <c r="I29">
        <v>3</v>
      </c>
      <c r="J29">
        <v>0</v>
      </c>
      <c r="K29">
        <v>11.4</v>
      </c>
      <c r="L29">
        <v>8.09</v>
      </c>
      <c r="M29">
        <v>3.31</v>
      </c>
      <c r="N29" t="s">
        <v>255</v>
      </c>
    </row>
    <row r="30" spans="1:14" x14ac:dyDescent="0.35">
      <c r="A30" t="s">
        <v>42</v>
      </c>
      <c r="B30" s="3">
        <v>46085</v>
      </c>
      <c r="C30" t="s">
        <v>197</v>
      </c>
      <c r="D30" t="s">
        <v>207</v>
      </c>
      <c r="E30" t="s">
        <v>235</v>
      </c>
      <c r="F30" t="s">
        <v>245</v>
      </c>
      <c r="G30" t="s">
        <v>249</v>
      </c>
      <c r="H30">
        <v>1.4</v>
      </c>
      <c r="I30">
        <v>2</v>
      </c>
      <c r="J30">
        <v>0.05</v>
      </c>
      <c r="K30">
        <v>2.66</v>
      </c>
      <c r="L30">
        <v>1.9</v>
      </c>
      <c r="M30">
        <v>0.76</v>
      </c>
      <c r="N30" t="s">
        <v>255</v>
      </c>
    </row>
    <row r="31" spans="1:14" x14ac:dyDescent="0.35">
      <c r="A31" t="s">
        <v>43</v>
      </c>
      <c r="B31" s="3">
        <v>46066</v>
      </c>
      <c r="C31" t="s">
        <v>196</v>
      </c>
      <c r="D31" t="s">
        <v>208</v>
      </c>
      <c r="E31" t="s">
        <v>236</v>
      </c>
      <c r="F31" t="s">
        <v>246</v>
      </c>
      <c r="G31" t="s">
        <v>248</v>
      </c>
      <c r="H31">
        <v>3.2</v>
      </c>
      <c r="I31">
        <v>3</v>
      </c>
      <c r="J31">
        <v>0</v>
      </c>
      <c r="K31">
        <v>9.6</v>
      </c>
      <c r="L31">
        <v>7.3</v>
      </c>
      <c r="M31">
        <v>2.2999999999999998</v>
      </c>
      <c r="N31" t="s">
        <v>255</v>
      </c>
    </row>
    <row r="32" spans="1:14" x14ac:dyDescent="0.35">
      <c r="A32" t="s">
        <v>44</v>
      </c>
      <c r="B32" s="3">
        <v>46377</v>
      </c>
      <c r="C32" t="s">
        <v>194</v>
      </c>
      <c r="D32" t="s">
        <v>214</v>
      </c>
      <c r="E32" t="s">
        <v>235</v>
      </c>
      <c r="F32" t="s">
        <v>245</v>
      </c>
      <c r="G32" t="s">
        <v>249</v>
      </c>
      <c r="H32">
        <v>1.4</v>
      </c>
      <c r="I32">
        <v>3</v>
      </c>
      <c r="J32">
        <v>0.1</v>
      </c>
      <c r="K32">
        <v>3.78</v>
      </c>
      <c r="L32">
        <v>2.86</v>
      </c>
      <c r="M32">
        <v>0.92</v>
      </c>
      <c r="N32" t="s">
        <v>255</v>
      </c>
    </row>
    <row r="33" spans="1:14" x14ac:dyDescent="0.35">
      <c r="A33" t="s">
        <v>45</v>
      </c>
      <c r="B33" s="3">
        <v>46376</v>
      </c>
      <c r="C33" t="s">
        <v>196</v>
      </c>
      <c r="D33" t="s">
        <v>212</v>
      </c>
      <c r="E33" t="s">
        <v>231</v>
      </c>
      <c r="F33" t="s">
        <v>241</v>
      </c>
      <c r="G33" t="s">
        <v>250</v>
      </c>
      <c r="H33">
        <v>2.8</v>
      </c>
      <c r="I33">
        <v>9</v>
      </c>
      <c r="J33">
        <v>0</v>
      </c>
      <c r="K33">
        <v>25.2</v>
      </c>
      <c r="L33">
        <v>20.16</v>
      </c>
      <c r="M33">
        <v>5.04</v>
      </c>
      <c r="N33" t="s">
        <v>254</v>
      </c>
    </row>
    <row r="34" spans="1:14" x14ac:dyDescent="0.35">
      <c r="A34" t="s">
        <v>46</v>
      </c>
      <c r="B34" s="3">
        <v>46288</v>
      </c>
      <c r="C34" t="s">
        <v>196</v>
      </c>
      <c r="D34" t="s">
        <v>215</v>
      </c>
      <c r="E34" t="s">
        <v>236</v>
      </c>
      <c r="F34" t="s">
        <v>246</v>
      </c>
      <c r="G34" t="s">
        <v>248</v>
      </c>
      <c r="H34">
        <v>3.2</v>
      </c>
      <c r="I34">
        <v>6</v>
      </c>
      <c r="J34">
        <v>0</v>
      </c>
      <c r="K34">
        <v>19.2</v>
      </c>
      <c r="L34">
        <v>14.59</v>
      </c>
      <c r="M34">
        <v>4.6100000000000003</v>
      </c>
      <c r="N34" t="s">
        <v>254</v>
      </c>
    </row>
    <row r="35" spans="1:14" x14ac:dyDescent="0.35">
      <c r="A35" t="s">
        <v>47</v>
      </c>
      <c r="B35" s="3">
        <v>46300</v>
      </c>
      <c r="C35" t="s">
        <v>195</v>
      </c>
      <c r="D35" t="s">
        <v>206</v>
      </c>
      <c r="E35" t="s">
        <v>234</v>
      </c>
      <c r="F35" t="s">
        <v>244</v>
      </c>
      <c r="G35" t="s">
        <v>252</v>
      </c>
      <c r="H35">
        <v>5.5</v>
      </c>
      <c r="I35">
        <v>9</v>
      </c>
      <c r="J35">
        <v>0</v>
      </c>
      <c r="K35">
        <v>49.5</v>
      </c>
      <c r="L35">
        <v>36.130000000000003</v>
      </c>
      <c r="M35">
        <v>13.37</v>
      </c>
      <c r="N35" t="s">
        <v>254</v>
      </c>
    </row>
    <row r="36" spans="1:14" x14ac:dyDescent="0.35">
      <c r="A36" t="s">
        <v>48</v>
      </c>
      <c r="B36" s="3">
        <v>46228</v>
      </c>
      <c r="C36" t="s">
        <v>195</v>
      </c>
      <c r="D36" t="s">
        <v>205</v>
      </c>
      <c r="E36" t="s">
        <v>237</v>
      </c>
      <c r="F36" t="s">
        <v>247</v>
      </c>
      <c r="G36" t="s">
        <v>253</v>
      </c>
      <c r="H36">
        <v>6.5</v>
      </c>
      <c r="I36">
        <v>12</v>
      </c>
      <c r="J36">
        <v>0</v>
      </c>
      <c r="K36">
        <v>78</v>
      </c>
      <c r="L36">
        <v>63.96</v>
      </c>
      <c r="M36">
        <v>14.04</v>
      </c>
      <c r="N36" t="s">
        <v>255</v>
      </c>
    </row>
    <row r="37" spans="1:14" x14ac:dyDescent="0.35">
      <c r="A37" t="s">
        <v>49</v>
      </c>
      <c r="B37" s="3">
        <v>46037</v>
      </c>
      <c r="C37" t="s">
        <v>197</v>
      </c>
      <c r="D37" t="s">
        <v>216</v>
      </c>
      <c r="E37" t="s">
        <v>228</v>
      </c>
      <c r="F37" t="s">
        <v>238</v>
      </c>
      <c r="G37" t="s">
        <v>248</v>
      </c>
      <c r="H37">
        <v>1.8</v>
      </c>
      <c r="I37">
        <v>1</v>
      </c>
      <c r="J37">
        <v>0</v>
      </c>
      <c r="K37">
        <v>1.8</v>
      </c>
      <c r="L37">
        <v>1.3</v>
      </c>
      <c r="M37">
        <v>0.5</v>
      </c>
      <c r="N37" t="s">
        <v>254</v>
      </c>
    </row>
    <row r="38" spans="1:14" x14ac:dyDescent="0.35">
      <c r="A38" t="s">
        <v>50</v>
      </c>
      <c r="B38" s="3">
        <v>46199</v>
      </c>
      <c r="C38" t="s">
        <v>196</v>
      </c>
      <c r="D38" t="s">
        <v>211</v>
      </c>
      <c r="E38" t="s">
        <v>233</v>
      </c>
      <c r="F38" t="s">
        <v>243</v>
      </c>
      <c r="G38" t="s">
        <v>252</v>
      </c>
      <c r="H38">
        <v>3.8</v>
      </c>
      <c r="I38">
        <v>8</v>
      </c>
      <c r="J38">
        <v>0</v>
      </c>
      <c r="K38">
        <v>30.4</v>
      </c>
      <c r="L38">
        <v>21.58</v>
      </c>
      <c r="M38">
        <v>8.82</v>
      </c>
      <c r="N38" t="s">
        <v>254</v>
      </c>
    </row>
    <row r="39" spans="1:14" x14ac:dyDescent="0.35">
      <c r="A39" t="s">
        <v>51</v>
      </c>
      <c r="B39" s="3">
        <v>46139</v>
      </c>
      <c r="C39" t="s">
        <v>196</v>
      </c>
      <c r="D39" t="s">
        <v>214</v>
      </c>
      <c r="E39" t="s">
        <v>232</v>
      </c>
      <c r="F39" t="s">
        <v>242</v>
      </c>
      <c r="G39" t="s">
        <v>251</v>
      </c>
      <c r="H39">
        <v>1.2</v>
      </c>
      <c r="I39">
        <v>8</v>
      </c>
      <c r="J39">
        <v>0</v>
      </c>
      <c r="K39">
        <v>9.6</v>
      </c>
      <c r="L39">
        <v>7.2</v>
      </c>
      <c r="M39">
        <v>2.4</v>
      </c>
      <c r="N39" t="s">
        <v>255</v>
      </c>
    </row>
    <row r="40" spans="1:14" x14ac:dyDescent="0.35">
      <c r="A40" t="s">
        <v>52</v>
      </c>
      <c r="B40" s="3">
        <v>46335</v>
      </c>
      <c r="C40" t="s">
        <v>196</v>
      </c>
      <c r="D40" t="s">
        <v>217</v>
      </c>
      <c r="E40" t="s">
        <v>233</v>
      </c>
      <c r="F40" t="s">
        <v>243</v>
      </c>
      <c r="G40" t="s">
        <v>252</v>
      </c>
      <c r="H40">
        <v>3.8</v>
      </c>
      <c r="I40">
        <v>1</v>
      </c>
      <c r="J40">
        <v>0.05</v>
      </c>
      <c r="K40">
        <v>3.61</v>
      </c>
      <c r="L40">
        <v>2.7</v>
      </c>
      <c r="M40">
        <v>0.91</v>
      </c>
      <c r="N40" t="s">
        <v>254</v>
      </c>
    </row>
    <row r="41" spans="1:14" x14ac:dyDescent="0.35">
      <c r="A41" t="s">
        <v>53</v>
      </c>
      <c r="B41" s="3">
        <v>46221</v>
      </c>
      <c r="C41" t="s">
        <v>197</v>
      </c>
      <c r="D41" t="s">
        <v>218</v>
      </c>
      <c r="E41" t="s">
        <v>232</v>
      </c>
      <c r="F41" t="s">
        <v>242</v>
      </c>
      <c r="G41" t="s">
        <v>251</v>
      </c>
      <c r="H41">
        <v>1.2</v>
      </c>
      <c r="I41">
        <v>12</v>
      </c>
      <c r="J41">
        <v>0</v>
      </c>
      <c r="K41">
        <v>14.4</v>
      </c>
      <c r="L41">
        <v>10.8</v>
      </c>
      <c r="M41">
        <v>3.6</v>
      </c>
      <c r="N41" t="s">
        <v>254</v>
      </c>
    </row>
    <row r="42" spans="1:14" x14ac:dyDescent="0.35">
      <c r="A42" t="s">
        <v>54</v>
      </c>
      <c r="B42" s="3">
        <v>46348</v>
      </c>
      <c r="C42" t="s">
        <v>197</v>
      </c>
      <c r="D42" t="s">
        <v>209</v>
      </c>
      <c r="E42" t="s">
        <v>229</v>
      </c>
      <c r="F42" t="s">
        <v>239</v>
      </c>
      <c r="G42" t="s">
        <v>249</v>
      </c>
      <c r="H42">
        <v>2.5</v>
      </c>
      <c r="I42">
        <v>6</v>
      </c>
      <c r="J42">
        <v>0</v>
      </c>
      <c r="K42">
        <v>15</v>
      </c>
      <c r="L42">
        <v>10.5</v>
      </c>
      <c r="M42">
        <v>4.5</v>
      </c>
      <c r="N42" t="s">
        <v>255</v>
      </c>
    </row>
    <row r="43" spans="1:14" x14ac:dyDescent="0.35">
      <c r="A43" t="s">
        <v>55</v>
      </c>
      <c r="B43" s="3">
        <v>46104</v>
      </c>
      <c r="C43" t="s">
        <v>194</v>
      </c>
      <c r="D43" t="s">
        <v>219</v>
      </c>
      <c r="E43" t="s">
        <v>232</v>
      </c>
      <c r="F43" t="s">
        <v>242</v>
      </c>
      <c r="G43" t="s">
        <v>251</v>
      </c>
      <c r="H43">
        <v>1.2</v>
      </c>
      <c r="I43">
        <v>3</v>
      </c>
      <c r="J43">
        <v>0</v>
      </c>
      <c r="K43">
        <v>3.6</v>
      </c>
      <c r="L43">
        <v>2.7</v>
      </c>
      <c r="M43">
        <v>0.9</v>
      </c>
      <c r="N43" t="s">
        <v>255</v>
      </c>
    </row>
    <row r="44" spans="1:14" x14ac:dyDescent="0.35">
      <c r="A44" t="s">
        <v>56</v>
      </c>
      <c r="B44" s="3">
        <v>46336</v>
      </c>
      <c r="C44" t="s">
        <v>196</v>
      </c>
      <c r="D44" t="s">
        <v>219</v>
      </c>
      <c r="E44" t="s">
        <v>231</v>
      </c>
      <c r="F44" t="s">
        <v>241</v>
      </c>
      <c r="G44" t="s">
        <v>250</v>
      </c>
      <c r="H44">
        <v>2.8</v>
      </c>
      <c r="I44">
        <v>10</v>
      </c>
      <c r="J44">
        <v>0.05</v>
      </c>
      <c r="K44">
        <v>26.6</v>
      </c>
      <c r="L44">
        <v>22.4</v>
      </c>
      <c r="M44">
        <v>4.2</v>
      </c>
      <c r="N44" t="s">
        <v>254</v>
      </c>
    </row>
    <row r="45" spans="1:14" x14ac:dyDescent="0.35">
      <c r="A45" t="s">
        <v>57</v>
      </c>
      <c r="B45" s="3">
        <v>46030</v>
      </c>
      <c r="C45" t="s">
        <v>195</v>
      </c>
      <c r="D45" t="s">
        <v>220</v>
      </c>
      <c r="E45" t="s">
        <v>230</v>
      </c>
      <c r="F45" t="s">
        <v>240</v>
      </c>
      <c r="G45" t="s">
        <v>250</v>
      </c>
      <c r="H45">
        <v>1.5</v>
      </c>
      <c r="I45">
        <v>12</v>
      </c>
      <c r="J45">
        <v>0</v>
      </c>
      <c r="K45">
        <v>18</v>
      </c>
      <c r="L45">
        <v>14.04</v>
      </c>
      <c r="M45">
        <v>3.96</v>
      </c>
      <c r="N45" t="s">
        <v>254</v>
      </c>
    </row>
    <row r="46" spans="1:14" x14ac:dyDescent="0.35">
      <c r="A46" t="s">
        <v>58</v>
      </c>
      <c r="B46" s="3">
        <v>46037</v>
      </c>
      <c r="C46" t="s">
        <v>196</v>
      </c>
      <c r="D46" t="s">
        <v>205</v>
      </c>
      <c r="E46" t="s">
        <v>237</v>
      </c>
      <c r="F46" t="s">
        <v>247</v>
      </c>
      <c r="G46" t="s">
        <v>253</v>
      </c>
      <c r="H46">
        <v>6.5</v>
      </c>
      <c r="I46">
        <v>5</v>
      </c>
      <c r="J46">
        <v>0</v>
      </c>
      <c r="K46">
        <v>32.5</v>
      </c>
      <c r="L46">
        <v>26.65</v>
      </c>
      <c r="M46">
        <v>5.85</v>
      </c>
      <c r="N46" t="s">
        <v>254</v>
      </c>
    </row>
    <row r="47" spans="1:14" x14ac:dyDescent="0.35">
      <c r="A47" t="s">
        <v>59</v>
      </c>
      <c r="B47" s="3">
        <v>46189</v>
      </c>
      <c r="C47" t="s">
        <v>197</v>
      </c>
      <c r="D47" t="s">
        <v>198</v>
      </c>
      <c r="E47" t="s">
        <v>233</v>
      </c>
      <c r="F47" t="s">
        <v>243</v>
      </c>
      <c r="G47" t="s">
        <v>252</v>
      </c>
      <c r="H47">
        <v>3.8</v>
      </c>
      <c r="I47">
        <v>5</v>
      </c>
      <c r="J47">
        <v>0.1</v>
      </c>
      <c r="K47">
        <v>17.100000000000001</v>
      </c>
      <c r="L47">
        <v>13.49</v>
      </c>
      <c r="M47">
        <v>3.61</v>
      </c>
      <c r="N47" t="s">
        <v>254</v>
      </c>
    </row>
    <row r="48" spans="1:14" x14ac:dyDescent="0.35">
      <c r="A48" t="s">
        <v>60</v>
      </c>
      <c r="B48" s="3">
        <v>46204</v>
      </c>
      <c r="C48" t="s">
        <v>197</v>
      </c>
      <c r="D48" t="s">
        <v>198</v>
      </c>
      <c r="E48" t="s">
        <v>230</v>
      </c>
      <c r="F48" t="s">
        <v>240</v>
      </c>
      <c r="G48" t="s">
        <v>250</v>
      </c>
      <c r="H48">
        <v>1.5</v>
      </c>
      <c r="I48">
        <v>8</v>
      </c>
      <c r="J48">
        <v>0.1</v>
      </c>
      <c r="K48">
        <v>10.8</v>
      </c>
      <c r="L48">
        <v>9.36</v>
      </c>
      <c r="M48">
        <v>1.44</v>
      </c>
      <c r="N48" t="s">
        <v>254</v>
      </c>
    </row>
    <row r="49" spans="1:14" x14ac:dyDescent="0.35">
      <c r="A49" t="s">
        <v>61</v>
      </c>
      <c r="B49" s="3">
        <v>46100</v>
      </c>
      <c r="C49" t="s">
        <v>194</v>
      </c>
      <c r="D49" t="s">
        <v>221</v>
      </c>
      <c r="E49" t="s">
        <v>234</v>
      </c>
      <c r="F49" t="s">
        <v>244</v>
      </c>
      <c r="G49" t="s">
        <v>252</v>
      </c>
      <c r="H49">
        <v>5.5</v>
      </c>
      <c r="I49">
        <v>9</v>
      </c>
      <c r="J49">
        <v>0.1</v>
      </c>
      <c r="K49">
        <v>44.55</v>
      </c>
      <c r="L49">
        <v>36.130000000000003</v>
      </c>
      <c r="M49">
        <v>8.42</v>
      </c>
      <c r="N49" t="s">
        <v>255</v>
      </c>
    </row>
    <row r="50" spans="1:14" x14ac:dyDescent="0.35">
      <c r="A50" t="s">
        <v>62</v>
      </c>
      <c r="B50" s="3">
        <v>46334</v>
      </c>
      <c r="C50" t="s">
        <v>195</v>
      </c>
      <c r="D50" t="s">
        <v>219</v>
      </c>
      <c r="E50" t="s">
        <v>231</v>
      </c>
      <c r="F50" t="s">
        <v>241</v>
      </c>
      <c r="G50" t="s">
        <v>250</v>
      </c>
      <c r="H50">
        <v>2.8</v>
      </c>
      <c r="I50">
        <v>1</v>
      </c>
      <c r="J50">
        <v>0</v>
      </c>
      <c r="K50">
        <v>2.8</v>
      </c>
      <c r="L50">
        <v>2.2400000000000002</v>
      </c>
      <c r="M50">
        <v>0.56000000000000005</v>
      </c>
      <c r="N50" t="s">
        <v>255</v>
      </c>
    </row>
    <row r="51" spans="1:14" x14ac:dyDescent="0.35">
      <c r="A51" t="s">
        <v>63</v>
      </c>
      <c r="B51" s="3">
        <v>46084</v>
      </c>
      <c r="C51" t="s">
        <v>196</v>
      </c>
      <c r="D51" t="s">
        <v>204</v>
      </c>
      <c r="E51" t="s">
        <v>233</v>
      </c>
      <c r="F51" t="s">
        <v>243</v>
      </c>
      <c r="G51" t="s">
        <v>252</v>
      </c>
      <c r="H51">
        <v>3.8</v>
      </c>
      <c r="I51">
        <v>9</v>
      </c>
      <c r="J51">
        <v>0</v>
      </c>
      <c r="K51">
        <v>34.200000000000003</v>
      </c>
      <c r="L51">
        <v>24.28</v>
      </c>
      <c r="M51">
        <v>9.92</v>
      </c>
      <c r="N51" t="s">
        <v>255</v>
      </c>
    </row>
    <row r="52" spans="1:14" x14ac:dyDescent="0.35">
      <c r="A52" t="s">
        <v>64</v>
      </c>
      <c r="B52" s="3">
        <v>46309</v>
      </c>
      <c r="C52" t="s">
        <v>195</v>
      </c>
      <c r="D52" t="s">
        <v>216</v>
      </c>
      <c r="E52" t="s">
        <v>232</v>
      </c>
      <c r="F52" t="s">
        <v>242</v>
      </c>
      <c r="G52" t="s">
        <v>251</v>
      </c>
      <c r="H52">
        <v>1.2</v>
      </c>
      <c r="I52">
        <v>1</v>
      </c>
      <c r="J52">
        <v>0</v>
      </c>
      <c r="K52">
        <v>1.2</v>
      </c>
      <c r="L52">
        <v>0.9</v>
      </c>
      <c r="M52">
        <v>0.3</v>
      </c>
      <c r="N52" t="s">
        <v>254</v>
      </c>
    </row>
    <row r="53" spans="1:14" x14ac:dyDescent="0.35">
      <c r="A53" t="s">
        <v>65</v>
      </c>
      <c r="B53" s="3">
        <v>46282</v>
      </c>
      <c r="C53" t="s">
        <v>194</v>
      </c>
      <c r="D53" t="s">
        <v>215</v>
      </c>
      <c r="E53" t="s">
        <v>232</v>
      </c>
      <c r="F53" t="s">
        <v>242</v>
      </c>
      <c r="G53" t="s">
        <v>251</v>
      </c>
      <c r="H53">
        <v>1.2</v>
      </c>
      <c r="I53">
        <v>8</v>
      </c>
      <c r="J53">
        <v>0.1</v>
      </c>
      <c r="K53">
        <v>8.64</v>
      </c>
      <c r="L53">
        <v>7.2</v>
      </c>
      <c r="M53">
        <v>1.44</v>
      </c>
      <c r="N53" t="s">
        <v>254</v>
      </c>
    </row>
    <row r="54" spans="1:14" x14ac:dyDescent="0.35">
      <c r="A54" t="s">
        <v>66</v>
      </c>
      <c r="B54" s="3">
        <v>46189</v>
      </c>
      <c r="C54" t="s">
        <v>195</v>
      </c>
      <c r="D54" t="s">
        <v>210</v>
      </c>
      <c r="E54" t="s">
        <v>235</v>
      </c>
      <c r="F54" t="s">
        <v>245</v>
      </c>
      <c r="G54" t="s">
        <v>249</v>
      </c>
      <c r="H54">
        <v>1.4</v>
      </c>
      <c r="I54">
        <v>10</v>
      </c>
      <c r="J54">
        <v>0.1</v>
      </c>
      <c r="K54">
        <v>12.6</v>
      </c>
      <c r="L54">
        <v>9.52</v>
      </c>
      <c r="M54">
        <v>3.08</v>
      </c>
      <c r="N54" t="s">
        <v>255</v>
      </c>
    </row>
    <row r="55" spans="1:14" x14ac:dyDescent="0.35">
      <c r="A55" t="s">
        <v>67</v>
      </c>
      <c r="B55" s="3">
        <v>46283</v>
      </c>
      <c r="C55" t="s">
        <v>195</v>
      </c>
      <c r="D55" t="s">
        <v>210</v>
      </c>
      <c r="E55" t="s">
        <v>235</v>
      </c>
      <c r="F55" t="s">
        <v>245</v>
      </c>
      <c r="G55" t="s">
        <v>249</v>
      </c>
      <c r="H55">
        <v>1.4</v>
      </c>
      <c r="I55">
        <v>9</v>
      </c>
      <c r="J55">
        <v>0.05</v>
      </c>
      <c r="K55">
        <v>11.97</v>
      </c>
      <c r="L55">
        <v>8.57</v>
      </c>
      <c r="M55">
        <v>3.4</v>
      </c>
      <c r="N55" t="s">
        <v>255</v>
      </c>
    </row>
    <row r="56" spans="1:14" x14ac:dyDescent="0.35">
      <c r="A56" t="s">
        <v>68</v>
      </c>
      <c r="B56" s="3">
        <v>46126</v>
      </c>
      <c r="C56" t="s">
        <v>197</v>
      </c>
      <c r="D56" t="s">
        <v>203</v>
      </c>
      <c r="E56" t="s">
        <v>234</v>
      </c>
      <c r="F56" t="s">
        <v>244</v>
      </c>
      <c r="G56" t="s">
        <v>252</v>
      </c>
      <c r="H56">
        <v>5.5</v>
      </c>
      <c r="I56">
        <v>8</v>
      </c>
      <c r="J56">
        <v>0</v>
      </c>
      <c r="K56">
        <v>44</v>
      </c>
      <c r="L56">
        <v>32.119999999999997</v>
      </c>
      <c r="M56">
        <v>11.88</v>
      </c>
      <c r="N56" t="s">
        <v>255</v>
      </c>
    </row>
    <row r="57" spans="1:14" x14ac:dyDescent="0.35">
      <c r="A57" t="s">
        <v>69</v>
      </c>
      <c r="B57" s="3">
        <v>46184</v>
      </c>
      <c r="C57" t="s">
        <v>197</v>
      </c>
      <c r="D57" t="s">
        <v>211</v>
      </c>
      <c r="E57" t="s">
        <v>235</v>
      </c>
      <c r="F57" t="s">
        <v>245</v>
      </c>
      <c r="G57" t="s">
        <v>249</v>
      </c>
      <c r="H57">
        <v>1.4</v>
      </c>
      <c r="I57">
        <v>2</v>
      </c>
      <c r="J57">
        <v>0</v>
      </c>
      <c r="K57">
        <v>2.8</v>
      </c>
      <c r="L57">
        <v>1.9</v>
      </c>
      <c r="M57">
        <v>0.9</v>
      </c>
      <c r="N57" t="s">
        <v>254</v>
      </c>
    </row>
    <row r="58" spans="1:14" x14ac:dyDescent="0.35">
      <c r="A58" t="s">
        <v>70</v>
      </c>
      <c r="B58" s="3">
        <v>46085</v>
      </c>
      <c r="C58" t="s">
        <v>195</v>
      </c>
      <c r="D58" t="s">
        <v>216</v>
      </c>
      <c r="E58" t="s">
        <v>236</v>
      </c>
      <c r="F58" t="s">
        <v>246</v>
      </c>
      <c r="G58" t="s">
        <v>248</v>
      </c>
      <c r="H58">
        <v>3.2</v>
      </c>
      <c r="I58">
        <v>3</v>
      </c>
      <c r="J58">
        <v>0</v>
      </c>
      <c r="K58">
        <v>9.6</v>
      </c>
      <c r="L58">
        <v>7.3</v>
      </c>
      <c r="M58">
        <v>2.2999999999999998</v>
      </c>
      <c r="N58" t="s">
        <v>254</v>
      </c>
    </row>
    <row r="59" spans="1:14" x14ac:dyDescent="0.35">
      <c r="A59" t="s">
        <v>71</v>
      </c>
      <c r="B59" s="3">
        <v>46135</v>
      </c>
      <c r="C59" t="s">
        <v>197</v>
      </c>
      <c r="D59" t="s">
        <v>218</v>
      </c>
      <c r="E59" t="s">
        <v>235</v>
      </c>
      <c r="F59" t="s">
        <v>245</v>
      </c>
      <c r="G59" t="s">
        <v>249</v>
      </c>
      <c r="H59">
        <v>1.4</v>
      </c>
      <c r="I59">
        <v>12</v>
      </c>
      <c r="J59">
        <v>0</v>
      </c>
      <c r="K59">
        <v>16.8</v>
      </c>
      <c r="L59">
        <v>11.42</v>
      </c>
      <c r="M59">
        <v>5.38</v>
      </c>
      <c r="N59" t="s">
        <v>255</v>
      </c>
    </row>
    <row r="60" spans="1:14" x14ac:dyDescent="0.35">
      <c r="A60" t="s">
        <v>72</v>
      </c>
      <c r="B60" s="3">
        <v>46364</v>
      </c>
      <c r="C60" t="s">
        <v>197</v>
      </c>
      <c r="D60" t="s">
        <v>205</v>
      </c>
      <c r="E60" t="s">
        <v>231</v>
      </c>
      <c r="F60" t="s">
        <v>241</v>
      </c>
      <c r="G60" t="s">
        <v>250</v>
      </c>
      <c r="H60">
        <v>2.8</v>
      </c>
      <c r="I60">
        <v>4</v>
      </c>
      <c r="J60">
        <v>0</v>
      </c>
      <c r="K60">
        <v>11.2</v>
      </c>
      <c r="L60">
        <v>8.9600000000000009</v>
      </c>
      <c r="M60">
        <v>2.2400000000000002</v>
      </c>
      <c r="N60" t="s">
        <v>255</v>
      </c>
    </row>
    <row r="61" spans="1:14" x14ac:dyDescent="0.35">
      <c r="A61" t="s">
        <v>73</v>
      </c>
      <c r="B61" s="3">
        <v>46238</v>
      </c>
      <c r="C61" t="s">
        <v>196</v>
      </c>
      <c r="D61" t="s">
        <v>211</v>
      </c>
      <c r="E61" t="s">
        <v>228</v>
      </c>
      <c r="F61" t="s">
        <v>238</v>
      </c>
      <c r="G61" t="s">
        <v>248</v>
      </c>
      <c r="H61">
        <v>1.8</v>
      </c>
      <c r="I61">
        <v>4</v>
      </c>
      <c r="J61">
        <v>0</v>
      </c>
      <c r="K61">
        <v>7.2</v>
      </c>
      <c r="L61">
        <v>5.18</v>
      </c>
      <c r="M61">
        <v>2.02</v>
      </c>
      <c r="N61" t="s">
        <v>255</v>
      </c>
    </row>
    <row r="62" spans="1:14" x14ac:dyDescent="0.35">
      <c r="A62" t="s">
        <v>74</v>
      </c>
      <c r="B62" s="3">
        <v>46196</v>
      </c>
      <c r="C62" t="s">
        <v>197</v>
      </c>
      <c r="D62" t="s">
        <v>210</v>
      </c>
      <c r="E62" t="s">
        <v>230</v>
      </c>
      <c r="F62" t="s">
        <v>240</v>
      </c>
      <c r="G62" t="s">
        <v>250</v>
      </c>
      <c r="H62">
        <v>1.5</v>
      </c>
      <c r="I62">
        <v>9</v>
      </c>
      <c r="J62">
        <v>0.05</v>
      </c>
      <c r="K62">
        <v>12.82</v>
      </c>
      <c r="L62">
        <v>10.53</v>
      </c>
      <c r="M62">
        <v>2.29</v>
      </c>
      <c r="N62" t="s">
        <v>254</v>
      </c>
    </row>
    <row r="63" spans="1:14" x14ac:dyDescent="0.35">
      <c r="A63" t="s">
        <v>75</v>
      </c>
      <c r="B63" s="3">
        <v>46192</v>
      </c>
      <c r="C63" t="s">
        <v>196</v>
      </c>
      <c r="D63" t="s">
        <v>205</v>
      </c>
      <c r="E63" t="s">
        <v>229</v>
      </c>
      <c r="F63" t="s">
        <v>239</v>
      </c>
      <c r="G63" t="s">
        <v>249</v>
      </c>
      <c r="H63">
        <v>2.5</v>
      </c>
      <c r="I63">
        <v>9</v>
      </c>
      <c r="J63">
        <v>0.1</v>
      </c>
      <c r="K63">
        <v>20.25</v>
      </c>
      <c r="L63">
        <v>15.75</v>
      </c>
      <c r="M63">
        <v>4.5</v>
      </c>
      <c r="N63" t="s">
        <v>254</v>
      </c>
    </row>
    <row r="64" spans="1:14" x14ac:dyDescent="0.35">
      <c r="A64" t="s">
        <v>76</v>
      </c>
      <c r="B64" s="3">
        <v>46140</v>
      </c>
      <c r="C64" t="s">
        <v>196</v>
      </c>
      <c r="D64" t="s">
        <v>216</v>
      </c>
      <c r="E64" t="s">
        <v>232</v>
      </c>
      <c r="F64" t="s">
        <v>242</v>
      </c>
      <c r="G64" t="s">
        <v>251</v>
      </c>
      <c r="H64">
        <v>1.2</v>
      </c>
      <c r="I64">
        <v>2</v>
      </c>
      <c r="J64">
        <v>0</v>
      </c>
      <c r="K64">
        <v>2.4</v>
      </c>
      <c r="L64">
        <v>1.8</v>
      </c>
      <c r="M64">
        <v>0.6</v>
      </c>
      <c r="N64" t="s">
        <v>254</v>
      </c>
    </row>
    <row r="65" spans="1:14" x14ac:dyDescent="0.35">
      <c r="A65" t="s">
        <v>77</v>
      </c>
      <c r="B65" s="3">
        <v>46161</v>
      </c>
      <c r="C65" t="s">
        <v>196</v>
      </c>
      <c r="D65" t="s">
        <v>222</v>
      </c>
      <c r="E65" t="s">
        <v>231</v>
      </c>
      <c r="F65" t="s">
        <v>241</v>
      </c>
      <c r="G65" t="s">
        <v>250</v>
      </c>
      <c r="H65">
        <v>2.8</v>
      </c>
      <c r="I65">
        <v>3</v>
      </c>
      <c r="J65">
        <v>0.05</v>
      </c>
      <c r="K65">
        <v>7.98</v>
      </c>
      <c r="L65">
        <v>6.72</v>
      </c>
      <c r="M65">
        <v>1.26</v>
      </c>
      <c r="N65" t="s">
        <v>254</v>
      </c>
    </row>
    <row r="66" spans="1:14" x14ac:dyDescent="0.35">
      <c r="A66" t="s">
        <v>78</v>
      </c>
      <c r="B66" s="3">
        <v>46286</v>
      </c>
      <c r="C66" t="s">
        <v>196</v>
      </c>
      <c r="D66" t="s">
        <v>211</v>
      </c>
      <c r="E66" t="s">
        <v>234</v>
      </c>
      <c r="F66" t="s">
        <v>244</v>
      </c>
      <c r="G66" t="s">
        <v>252</v>
      </c>
      <c r="H66">
        <v>5.5</v>
      </c>
      <c r="I66">
        <v>10</v>
      </c>
      <c r="J66">
        <v>0.05</v>
      </c>
      <c r="K66">
        <v>52.25</v>
      </c>
      <c r="L66">
        <v>40.15</v>
      </c>
      <c r="M66">
        <v>12.1</v>
      </c>
      <c r="N66" t="s">
        <v>255</v>
      </c>
    </row>
    <row r="67" spans="1:14" x14ac:dyDescent="0.35">
      <c r="A67" t="s">
        <v>79</v>
      </c>
      <c r="B67" s="3">
        <v>46375</v>
      </c>
      <c r="C67" t="s">
        <v>194</v>
      </c>
      <c r="D67" t="s">
        <v>216</v>
      </c>
      <c r="E67" t="s">
        <v>230</v>
      </c>
      <c r="F67" t="s">
        <v>240</v>
      </c>
      <c r="G67" t="s">
        <v>250</v>
      </c>
      <c r="H67">
        <v>1.5</v>
      </c>
      <c r="I67">
        <v>3</v>
      </c>
      <c r="J67">
        <v>0.05</v>
      </c>
      <c r="K67">
        <v>4.2699999999999996</v>
      </c>
      <c r="L67">
        <v>3.51</v>
      </c>
      <c r="M67">
        <v>0.76</v>
      </c>
      <c r="N67" t="s">
        <v>254</v>
      </c>
    </row>
    <row r="68" spans="1:14" x14ac:dyDescent="0.35">
      <c r="A68" t="s">
        <v>80</v>
      </c>
      <c r="B68" s="3">
        <v>46156</v>
      </c>
      <c r="C68" t="s">
        <v>195</v>
      </c>
      <c r="D68" t="s">
        <v>211</v>
      </c>
      <c r="E68" t="s">
        <v>232</v>
      </c>
      <c r="F68" t="s">
        <v>242</v>
      </c>
      <c r="G68" t="s">
        <v>251</v>
      </c>
      <c r="H68">
        <v>1.2</v>
      </c>
      <c r="I68">
        <v>2</v>
      </c>
      <c r="J68">
        <v>0.1</v>
      </c>
      <c r="K68">
        <v>2.16</v>
      </c>
      <c r="L68">
        <v>1.8</v>
      </c>
      <c r="M68">
        <v>0.36</v>
      </c>
      <c r="N68" t="s">
        <v>255</v>
      </c>
    </row>
    <row r="69" spans="1:14" x14ac:dyDescent="0.35">
      <c r="A69" t="s">
        <v>81</v>
      </c>
      <c r="B69" s="3">
        <v>46255</v>
      </c>
      <c r="C69" t="s">
        <v>197</v>
      </c>
      <c r="D69" t="s">
        <v>223</v>
      </c>
      <c r="E69" t="s">
        <v>232</v>
      </c>
      <c r="F69" t="s">
        <v>242</v>
      </c>
      <c r="G69" t="s">
        <v>251</v>
      </c>
      <c r="H69">
        <v>1.2</v>
      </c>
      <c r="I69">
        <v>1</v>
      </c>
      <c r="J69">
        <v>0</v>
      </c>
      <c r="K69">
        <v>1.2</v>
      </c>
      <c r="L69">
        <v>0.9</v>
      </c>
      <c r="M69">
        <v>0.3</v>
      </c>
      <c r="N69" t="s">
        <v>255</v>
      </c>
    </row>
    <row r="70" spans="1:14" x14ac:dyDescent="0.35">
      <c r="A70" t="s">
        <v>82</v>
      </c>
      <c r="B70" s="3">
        <v>46089</v>
      </c>
      <c r="C70" t="s">
        <v>195</v>
      </c>
      <c r="D70" t="s">
        <v>203</v>
      </c>
      <c r="E70" t="s">
        <v>233</v>
      </c>
      <c r="F70" t="s">
        <v>243</v>
      </c>
      <c r="G70" t="s">
        <v>252</v>
      </c>
      <c r="H70">
        <v>3.8</v>
      </c>
      <c r="I70">
        <v>1</v>
      </c>
      <c r="J70">
        <v>0.1</v>
      </c>
      <c r="K70">
        <v>3.42</v>
      </c>
      <c r="L70">
        <v>2.7</v>
      </c>
      <c r="M70">
        <v>0.72</v>
      </c>
      <c r="N70" t="s">
        <v>254</v>
      </c>
    </row>
    <row r="71" spans="1:14" x14ac:dyDescent="0.35">
      <c r="A71" t="s">
        <v>83</v>
      </c>
      <c r="B71" s="3">
        <v>46048</v>
      </c>
      <c r="C71" t="s">
        <v>196</v>
      </c>
      <c r="D71" t="s">
        <v>212</v>
      </c>
      <c r="E71" t="s">
        <v>236</v>
      </c>
      <c r="F71" t="s">
        <v>246</v>
      </c>
      <c r="G71" t="s">
        <v>248</v>
      </c>
      <c r="H71">
        <v>3.2</v>
      </c>
      <c r="I71">
        <v>3</v>
      </c>
      <c r="J71">
        <v>0</v>
      </c>
      <c r="K71">
        <v>9.6</v>
      </c>
      <c r="L71">
        <v>7.3</v>
      </c>
      <c r="M71">
        <v>2.2999999999999998</v>
      </c>
      <c r="N71" t="s">
        <v>255</v>
      </c>
    </row>
    <row r="72" spans="1:14" x14ac:dyDescent="0.35">
      <c r="A72" t="s">
        <v>84</v>
      </c>
      <c r="B72" s="3">
        <v>46128</v>
      </c>
      <c r="C72" t="s">
        <v>195</v>
      </c>
      <c r="D72" t="s">
        <v>216</v>
      </c>
      <c r="E72" t="s">
        <v>234</v>
      </c>
      <c r="F72" t="s">
        <v>244</v>
      </c>
      <c r="G72" t="s">
        <v>252</v>
      </c>
      <c r="H72">
        <v>5.5</v>
      </c>
      <c r="I72">
        <v>5</v>
      </c>
      <c r="J72">
        <v>0.05</v>
      </c>
      <c r="K72">
        <v>26.12</v>
      </c>
      <c r="L72">
        <v>20.07</v>
      </c>
      <c r="M72">
        <v>6.05</v>
      </c>
      <c r="N72" t="s">
        <v>255</v>
      </c>
    </row>
    <row r="73" spans="1:14" x14ac:dyDescent="0.35">
      <c r="A73" t="s">
        <v>85</v>
      </c>
      <c r="B73" s="3">
        <v>46151</v>
      </c>
      <c r="C73" t="s">
        <v>194</v>
      </c>
      <c r="D73" t="s">
        <v>208</v>
      </c>
      <c r="E73" t="s">
        <v>230</v>
      </c>
      <c r="F73" t="s">
        <v>240</v>
      </c>
      <c r="G73" t="s">
        <v>250</v>
      </c>
      <c r="H73">
        <v>1.5</v>
      </c>
      <c r="I73">
        <v>1</v>
      </c>
      <c r="J73">
        <v>0</v>
      </c>
      <c r="K73">
        <v>1.5</v>
      </c>
      <c r="L73">
        <v>1.17</v>
      </c>
      <c r="M73">
        <v>0.33</v>
      </c>
      <c r="N73" t="s">
        <v>254</v>
      </c>
    </row>
    <row r="74" spans="1:14" x14ac:dyDescent="0.35">
      <c r="A74" t="s">
        <v>86</v>
      </c>
      <c r="B74" s="3">
        <v>46266</v>
      </c>
      <c r="C74" t="s">
        <v>194</v>
      </c>
      <c r="D74" t="s">
        <v>204</v>
      </c>
      <c r="E74" t="s">
        <v>234</v>
      </c>
      <c r="F74" t="s">
        <v>244</v>
      </c>
      <c r="G74" t="s">
        <v>252</v>
      </c>
      <c r="H74">
        <v>5.5</v>
      </c>
      <c r="I74">
        <v>4</v>
      </c>
      <c r="J74">
        <v>0.05</v>
      </c>
      <c r="K74">
        <v>20.9</v>
      </c>
      <c r="L74">
        <v>16.059999999999999</v>
      </c>
      <c r="M74">
        <v>4.84</v>
      </c>
      <c r="N74" t="s">
        <v>255</v>
      </c>
    </row>
    <row r="75" spans="1:14" x14ac:dyDescent="0.35">
      <c r="A75" t="s">
        <v>87</v>
      </c>
      <c r="B75" s="3">
        <v>46302</v>
      </c>
      <c r="C75" t="s">
        <v>196</v>
      </c>
      <c r="D75" t="s">
        <v>210</v>
      </c>
      <c r="E75" t="s">
        <v>235</v>
      </c>
      <c r="F75" t="s">
        <v>245</v>
      </c>
      <c r="G75" t="s">
        <v>249</v>
      </c>
      <c r="H75">
        <v>1.4</v>
      </c>
      <c r="I75">
        <v>7</v>
      </c>
      <c r="J75">
        <v>0.1</v>
      </c>
      <c r="K75">
        <v>8.82</v>
      </c>
      <c r="L75">
        <v>6.66</v>
      </c>
      <c r="M75">
        <v>2.16</v>
      </c>
      <c r="N75" t="s">
        <v>254</v>
      </c>
    </row>
    <row r="76" spans="1:14" x14ac:dyDescent="0.35">
      <c r="A76" t="s">
        <v>88</v>
      </c>
      <c r="B76" s="3">
        <v>46198</v>
      </c>
      <c r="C76" t="s">
        <v>197</v>
      </c>
      <c r="D76" t="s">
        <v>224</v>
      </c>
      <c r="E76" t="s">
        <v>237</v>
      </c>
      <c r="F76" t="s">
        <v>247</v>
      </c>
      <c r="G76" t="s">
        <v>253</v>
      </c>
      <c r="H76">
        <v>6.5</v>
      </c>
      <c r="I76">
        <v>4</v>
      </c>
      <c r="J76">
        <v>0</v>
      </c>
      <c r="K76">
        <v>26</v>
      </c>
      <c r="L76">
        <v>21.32</v>
      </c>
      <c r="M76">
        <v>4.68</v>
      </c>
      <c r="N76" t="s">
        <v>254</v>
      </c>
    </row>
    <row r="77" spans="1:14" x14ac:dyDescent="0.35">
      <c r="A77" t="s">
        <v>89</v>
      </c>
      <c r="B77" s="3">
        <v>46030</v>
      </c>
      <c r="C77" t="s">
        <v>197</v>
      </c>
      <c r="D77" t="s">
        <v>213</v>
      </c>
      <c r="E77" t="s">
        <v>231</v>
      </c>
      <c r="F77" t="s">
        <v>241</v>
      </c>
      <c r="G77" t="s">
        <v>250</v>
      </c>
      <c r="H77">
        <v>2.8</v>
      </c>
      <c r="I77">
        <v>2</v>
      </c>
      <c r="J77">
        <v>0</v>
      </c>
      <c r="K77">
        <v>5.6</v>
      </c>
      <c r="L77">
        <v>4.4800000000000004</v>
      </c>
      <c r="M77">
        <v>1.1200000000000001</v>
      </c>
      <c r="N77" t="s">
        <v>254</v>
      </c>
    </row>
    <row r="78" spans="1:14" x14ac:dyDescent="0.35">
      <c r="A78" t="s">
        <v>90</v>
      </c>
      <c r="B78" s="3">
        <v>46363</v>
      </c>
      <c r="C78" t="s">
        <v>196</v>
      </c>
      <c r="D78" t="s">
        <v>206</v>
      </c>
      <c r="E78" t="s">
        <v>232</v>
      </c>
      <c r="F78" t="s">
        <v>242</v>
      </c>
      <c r="G78" t="s">
        <v>251</v>
      </c>
      <c r="H78">
        <v>1.2</v>
      </c>
      <c r="I78">
        <v>7</v>
      </c>
      <c r="J78">
        <v>0.1</v>
      </c>
      <c r="K78">
        <v>7.56</v>
      </c>
      <c r="L78">
        <v>6.3</v>
      </c>
      <c r="M78">
        <v>1.26</v>
      </c>
      <c r="N78" t="s">
        <v>254</v>
      </c>
    </row>
    <row r="79" spans="1:14" x14ac:dyDescent="0.35">
      <c r="A79" t="s">
        <v>91</v>
      </c>
      <c r="B79" s="3">
        <v>46046</v>
      </c>
      <c r="C79" t="s">
        <v>195</v>
      </c>
      <c r="D79" t="s">
        <v>216</v>
      </c>
      <c r="E79" t="s">
        <v>236</v>
      </c>
      <c r="F79" t="s">
        <v>246</v>
      </c>
      <c r="G79" t="s">
        <v>248</v>
      </c>
      <c r="H79">
        <v>3.2</v>
      </c>
      <c r="I79">
        <v>8</v>
      </c>
      <c r="J79">
        <v>0</v>
      </c>
      <c r="K79">
        <v>25.6</v>
      </c>
      <c r="L79">
        <v>19.46</v>
      </c>
      <c r="M79">
        <v>6.14</v>
      </c>
      <c r="N79" t="s">
        <v>255</v>
      </c>
    </row>
    <row r="80" spans="1:14" x14ac:dyDescent="0.35">
      <c r="A80" t="s">
        <v>92</v>
      </c>
      <c r="B80" s="3">
        <v>46157</v>
      </c>
      <c r="C80" t="s">
        <v>196</v>
      </c>
      <c r="D80" t="s">
        <v>225</v>
      </c>
      <c r="E80" t="s">
        <v>230</v>
      </c>
      <c r="F80" t="s">
        <v>240</v>
      </c>
      <c r="G80" t="s">
        <v>250</v>
      </c>
      <c r="H80">
        <v>1.5</v>
      </c>
      <c r="I80">
        <v>6</v>
      </c>
      <c r="J80">
        <v>0</v>
      </c>
      <c r="K80">
        <v>9</v>
      </c>
      <c r="L80">
        <v>7.02</v>
      </c>
      <c r="M80">
        <v>1.98</v>
      </c>
      <c r="N80" t="s">
        <v>254</v>
      </c>
    </row>
    <row r="81" spans="1:14" x14ac:dyDescent="0.35">
      <c r="A81" t="s">
        <v>93</v>
      </c>
      <c r="B81" s="3">
        <v>46134</v>
      </c>
      <c r="C81" t="s">
        <v>194</v>
      </c>
      <c r="D81" t="s">
        <v>226</v>
      </c>
      <c r="E81" t="s">
        <v>236</v>
      </c>
      <c r="F81" t="s">
        <v>246</v>
      </c>
      <c r="G81" t="s">
        <v>248</v>
      </c>
      <c r="H81">
        <v>3.2</v>
      </c>
      <c r="I81">
        <v>6</v>
      </c>
      <c r="J81">
        <v>0</v>
      </c>
      <c r="K81">
        <v>19.2</v>
      </c>
      <c r="L81">
        <v>14.59</v>
      </c>
      <c r="M81">
        <v>4.6100000000000003</v>
      </c>
      <c r="N81" t="s">
        <v>255</v>
      </c>
    </row>
    <row r="82" spans="1:14" x14ac:dyDescent="0.35">
      <c r="A82" t="s">
        <v>94</v>
      </c>
      <c r="B82" s="3">
        <v>46266</v>
      </c>
      <c r="C82" t="s">
        <v>195</v>
      </c>
      <c r="D82" t="s">
        <v>225</v>
      </c>
      <c r="E82" t="s">
        <v>232</v>
      </c>
      <c r="F82" t="s">
        <v>242</v>
      </c>
      <c r="G82" t="s">
        <v>251</v>
      </c>
      <c r="H82">
        <v>1.2</v>
      </c>
      <c r="I82">
        <v>5</v>
      </c>
      <c r="J82">
        <v>0.1</v>
      </c>
      <c r="K82">
        <v>5.4</v>
      </c>
      <c r="L82">
        <v>4.5</v>
      </c>
      <c r="M82">
        <v>0.9</v>
      </c>
      <c r="N82" t="s">
        <v>254</v>
      </c>
    </row>
    <row r="83" spans="1:14" x14ac:dyDescent="0.35">
      <c r="A83" t="s">
        <v>95</v>
      </c>
      <c r="B83" s="3">
        <v>46158</v>
      </c>
      <c r="C83" t="s">
        <v>197</v>
      </c>
      <c r="D83" t="s">
        <v>201</v>
      </c>
      <c r="E83" t="s">
        <v>232</v>
      </c>
      <c r="F83" t="s">
        <v>242</v>
      </c>
      <c r="G83" t="s">
        <v>251</v>
      </c>
      <c r="H83">
        <v>1.2</v>
      </c>
      <c r="I83">
        <v>2</v>
      </c>
      <c r="J83">
        <v>0</v>
      </c>
      <c r="K83">
        <v>2.4</v>
      </c>
      <c r="L83">
        <v>1.8</v>
      </c>
      <c r="M83">
        <v>0.6</v>
      </c>
      <c r="N83" t="s">
        <v>254</v>
      </c>
    </row>
    <row r="84" spans="1:14" x14ac:dyDescent="0.35">
      <c r="A84" t="s">
        <v>96</v>
      </c>
      <c r="B84" s="3">
        <v>46034</v>
      </c>
      <c r="C84" t="s">
        <v>195</v>
      </c>
      <c r="D84" t="s">
        <v>211</v>
      </c>
      <c r="E84" t="s">
        <v>229</v>
      </c>
      <c r="F84" t="s">
        <v>239</v>
      </c>
      <c r="G84" t="s">
        <v>249</v>
      </c>
      <c r="H84">
        <v>2.5</v>
      </c>
      <c r="I84">
        <v>5</v>
      </c>
      <c r="J84">
        <v>0</v>
      </c>
      <c r="K84">
        <v>12.5</v>
      </c>
      <c r="L84">
        <v>8.75</v>
      </c>
      <c r="M84">
        <v>3.75</v>
      </c>
      <c r="N84" t="s">
        <v>254</v>
      </c>
    </row>
    <row r="85" spans="1:14" x14ac:dyDescent="0.35">
      <c r="A85" t="s">
        <v>97</v>
      </c>
      <c r="B85" s="3">
        <v>46222</v>
      </c>
      <c r="C85" t="s">
        <v>195</v>
      </c>
      <c r="D85" t="s">
        <v>202</v>
      </c>
      <c r="E85" t="s">
        <v>233</v>
      </c>
      <c r="F85" t="s">
        <v>243</v>
      </c>
      <c r="G85" t="s">
        <v>252</v>
      </c>
      <c r="H85">
        <v>3.8</v>
      </c>
      <c r="I85">
        <v>6</v>
      </c>
      <c r="J85">
        <v>0.05</v>
      </c>
      <c r="K85">
        <v>21.66</v>
      </c>
      <c r="L85">
        <v>16.190000000000001</v>
      </c>
      <c r="M85">
        <v>5.47</v>
      </c>
      <c r="N85" t="s">
        <v>254</v>
      </c>
    </row>
    <row r="86" spans="1:14" x14ac:dyDescent="0.35">
      <c r="A86" t="s">
        <v>98</v>
      </c>
      <c r="B86" s="3">
        <v>46285</v>
      </c>
      <c r="C86" t="s">
        <v>195</v>
      </c>
      <c r="D86" t="s">
        <v>223</v>
      </c>
      <c r="E86" t="s">
        <v>230</v>
      </c>
      <c r="F86" t="s">
        <v>240</v>
      </c>
      <c r="G86" t="s">
        <v>250</v>
      </c>
      <c r="H86">
        <v>1.5</v>
      </c>
      <c r="I86">
        <v>11</v>
      </c>
      <c r="J86">
        <v>0.05</v>
      </c>
      <c r="K86">
        <v>15.67</v>
      </c>
      <c r="L86">
        <v>12.87</v>
      </c>
      <c r="M86">
        <v>2.8</v>
      </c>
      <c r="N86" t="s">
        <v>254</v>
      </c>
    </row>
    <row r="87" spans="1:14" x14ac:dyDescent="0.35">
      <c r="A87" t="s">
        <v>99</v>
      </c>
      <c r="B87" s="3">
        <v>46387</v>
      </c>
      <c r="C87" t="s">
        <v>194</v>
      </c>
      <c r="D87" t="s">
        <v>227</v>
      </c>
      <c r="E87" t="s">
        <v>233</v>
      </c>
      <c r="F87" t="s">
        <v>243</v>
      </c>
      <c r="G87" t="s">
        <v>252</v>
      </c>
      <c r="H87">
        <v>3.8</v>
      </c>
      <c r="I87">
        <v>11</v>
      </c>
      <c r="J87">
        <v>0</v>
      </c>
      <c r="K87">
        <v>41.8</v>
      </c>
      <c r="L87">
        <v>29.68</v>
      </c>
      <c r="M87">
        <v>12.12</v>
      </c>
      <c r="N87" t="s">
        <v>254</v>
      </c>
    </row>
    <row r="88" spans="1:14" x14ac:dyDescent="0.35">
      <c r="A88" t="s">
        <v>100</v>
      </c>
      <c r="B88" s="3">
        <v>46349</v>
      </c>
      <c r="C88" t="s">
        <v>197</v>
      </c>
      <c r="D88" t="s">
        <v>198</v>
      </c>
      <c r="E88" t="s">
        <v>231</v>
      </c>
      <c r="F88" t="s">
        <v>241</v>
      </c>
      <c r="G88" t="s">
        <v>250</v>
      </c>
      <c r="H88">
        <v>2.8</v>
      </c>
      <c r="I88">
        <v>6</v>
      </c>
      <c r="J88">
        <v>0</v>
      </c>
      <c r="K88">
        <v>16.8</v>
      </c>
      <c r="L88">
        <v>13.44</v>
      </c>
      <c r="M88">
        <v>3.36</v>
      </c>
      <c r="N88" t="s">
        <v>255</v>
      </c>
    </row>
    <row r="89" spans="1:14" x14ac:dyDescent="0.35">
      <c r="A89" t="s">
        <v>101</v>
      </c>
      <c r="B89" s="3">
        <v>46048</v>
      </c>
      <c r="C89" t="s">
        <v>195</v>
      </c>
      <c r="D89" t="s">
        <v>207</v>
      </c>
      <c r="E89" t="s">
        <v>234</v>
      </c>
      <c r="F89" t="s">
        <v>244</v>
      </c>
      <c r="G89" t="s">
        <v>252</v>
      </c>
      <c r="H89">
        <v>5.5</v>
      </c>
      <c r="I89">
        <v>11</v>
      </c>
      <c r="J89">
        <v>0</v>
      </c>
      <c r="K89">
        <v>60.5</v>
      </c>
      <c r="L89">
        <v>44.16</v>
      </c>
      <c r="M89">
        <v>16.34</v>
      </c>
      <c r="N89" t="s">
        <v>255</v>
      </c>
    </row>
    <row r="90" spans="1:14" x14ac:dyDescent="0.35">
      <c r="A90" t="s">
        <v>102</v>
      </c>
      <c r="B90" s="3">
        <v>46256</v>
      </c>
      <c r="C90" t="s">
        <v>194</v>
      </c>
      <c r="D90" t="s">
        <v>204</v>
      </c>
      <c r="E90" t="s">
        <v>230</v>
      </c>
      <c r="F90" t="s">
        <v>240</v>
      </c>
      <c r="G90" t="s">
        <v>250</v>
      </c>
      <c r="H90">
        <v>1.5</v>
      </c>
      <c r="I90">
        <v>2</v>
      </c>
      <c r="J90">
        <v>0.1</v>
      </c>
      <c r="K90">
        <v>2.7</v>
      </c>
      <c r="L90">
        <v>2.34</v>
      </c>
      <c r="M90">
        <v>0.36</v>
      </c>
      <c r="N90" t="s">
        <v>254</v>
      </c>
    </row>
    <row r="91" spans="1:14" x14ac:dyDescent="0.35">
      <c r="A91" t="s">
        <v>103</v>
      </c>
      <c r="B91" s="3">
        <v>46152</v>
      </c>
      <c r="C91" t="s">
        <v>195</v>
      </c>
      <c r="D91" t="s">
        <v>208</v>
      </c>
      <c r="E91" t="s">
        <v>235</v>
      </c>
      <c r="F91" t="s">
        <v>245</v>
      </c>
      <c r="G91" t="s">
        <v>249</v>
      </c>
      <c r="H91">
        <v>1.4</v>
      </c>
      <c r="I91">
        <v>2</v>
      </c>
      <c r="J91">
        <v>0</v>
      </c>
      <c r="K91">
        <v>2.8</v>
      </c>
      <c r="L91">
        <v>1.9</v>
      </c>
      <c r="M91">
        <v>0.9</v>
      </c>
      <c r="N91" t="s">
        <v>254</v>
      </c>
    </row>
    <row r="92" spans="1:14" x14ac:dyDescent="0.35">
      <c r="A92" t="s">
        <v>104</v>
      </c>
      <c r="B92" s="3">
        <v>46355</v>
      </c>
      <c r="C92" t="s">
        <v>197</v>
      </c>
      <c r="D92" t="s">
        <v>211</v>
      </c>
      <c r="E92" t="s">
        <v>237</v>
      </c>
      <c r="F92" t="s">
        <v>247</v>
      </c>
      <c r="G92" t="s">
        <v>253</v>
      </c>
      <c r="H92">
        <v>6.5</v>
      </c>
      <c r="I92">
        <v>8</v>
      </c>
      <c r="J92">
        <v>0.05</v>
      </c>
      <c r="K92">
        <v>49.4</v>
      </c>
      <c r="L92">
        <v>42.64</v>
      </c>
      <c r="M92">
        <v>6.76</v>
      </c>
      <c r="N92" t="s">
        <v>255</v>
      </c>
    </row>
    <row r="93" spans="1:14" x14ac:dyDescent="0.35">
      <c r="A93" t="s">
        <v>105</v>
      </c>
      <c r="B93" s="3">
        <v>46046</v>
      </c>
      <c r="C93" t="s">
        <v>194</v>
      </c>
      <c r="D93" t="s">
        <v>206</v>
      </c>
      <c r="E93" t="s">
        <v>236</v>
      </c>
      <c r="F93" t="s">
        <v>246</v>
      </c>
      <c r="G93" t="s">
        <v>248</v>
      </c>
      <c r="H93">
        <v>3.2</v>
      </c>
      <c r="I93">
        <v>10</v>
      </c>
      <c r="J93">
        <v>0</v>
      </c>
      <c r="K93">
        <v>32</v>
      </c>
      <c r="L93">
        <v>24.32</v>
      </c>
      <c r="M93">
        <v>7.68</v>
      </c>
      <c r="N93" t="s">
        <v>254</v>
      </c>
    </row>
    <row r="94" spans="1:14" x14ac:dyDescent="0.35">
      <c r="A94" t="s">
        <v>106</v>
      </c>
      <c r="B94" s="3">
        <v>46153</v>
      </c>
      <c r="C94" t="s">
        <v>195</v>
      </c>
      <c r="D94" t="s">
        <v>227</v>
      </c>
      <c r="E94" t="s">
        <v>228</v>
      </c>
      <c r="F94" t="s">
        <v>238</v>
      </c>
      <c r="G94" t="s">
        <v>248</v>
      </c>
      <c r="H94">
        <v>1.8</v>
      </c>
      <c r="I94">
        <v>11</v>
      </c>
      <c r="J94">
        <v>0</v>
      </c>
      <c r="K94">
        <v>19.8</v>
      </c>
      <c r="L94">
        <v>14.26</v>
      </c>
      <c r="M94">
        <v>5.54</v>
      </c>
      <c r="N94" t="s">
        <v>255</v>
      </c>
    </row>
    <row r="95" spans="1:14" x14ac:dyDescent="0.35">
      <c r="A95" t="s">
        <v>107</v>
      </c>
      <c r="B95" s="3">
        <v>46271</v>
      </c>
      <c r="C95" t="s">
        <v>195</v>
      </c>
      <c r="D95" t="s">
        <v>204</v>
      </c>
      <c r="E95" t="s">
        <v>230</v>
      </c>
      <c r="F95" t="s">
        <v>240</v>
      </c>
      <c r="G95" t="s">
        <v>250</v>
      </c>
      <c r="H95">
        <v>1.5</v>
      </c>
      <c r="I95">
        <v>5</v>
      </c>
      <c r="J95">
        <v>0</v>
      </c>
      <c r="K95">
        <v>7.5</v>
      </c>
      <c r="L95">
        <v>5.85</v>
      </c>
      <c r="M95">
        <v>1.65</v>
      </c>
      <c r="N95" t="s">
        <v>255</v>
      </c>
    </row>
    <row r="96" spans="1:14" x14ac:dyDescent="0.35">
      <c r="A96" t="s">
        <v>108</v>
      </c>
      <c r="B96" s="3">
        <v>46385</v>
      </c>
      <c r="C96" t="s">
        <v>197</v>
      </c>
      <c r="D96" t="s">
        <v>209</v>
      </c>
      <c r="E96" t="s">
        <v>236</v>
      </c>
      <c r="F96" t="s">
        <v>246</v>
      </c>
      <c r="G96" t="s">
        <v>248</v>
      </c>
      <c r="H96">
        <v>3.2</v>
      </c>
      <c r="I96">
        <v>9</v>
      </c>
      <c r="J96">
        <v>0</v>
      </c>
      <c r="K96">
        <v>28.8</v>
      </c>
      <c r="L96">
        <v>21.89</v>
      </c>
      <c r="M96">
        <v>6.91</v>
      </c>
      <c r="N96" t="s">
        <v>255</v>
      </c>
    </row>
    <row r="97" spans="1:14" x14ac:dyDescent="0.35">
      <c r="A97" t="s">
        <v>109</v>
      </c>
      <c r="B97" s="3">
        <v>46304</v>
      </c>
      <c r="C97" t="s">
        <v>194</v>
      </c>
      <c r="D97" t="s">
        <v>223</v>
      </c>
      <c r="E97" t="s">
        <v>232</v>
      </c>
      <c r="F97" t="s">
        <v>242</v>
      </c>
      <c r="G97" t="s">
        <v>251</v>
      </c>
      <c r="H97">
        <v>1.2</v>
      </c>
      <c r="I97">
        <v>4</v>
      </c>
      <c r="J97">
        <v>0</v>
      </c>
      <c r="K97">
        <v>4.8</v>
      </c>
      <c r="L97">
        <v>3.6</v>
      </c>
      <c r="M97">
        <v>1.2</v>
      </c>
      <c r="N97" t="s">
        <v>255</v>
      </c>
    </row>
    <row r="98" spans="1:14" x14ac:dyDescent="0.35">
      <c r="A98" t="s">
        <v>110</v>
      </c>
      <c r="B98" s="3">
        <v>46171</v>
      </c>
      <c r="C98" t="s">
        <v>197</v>
      </c>
      <c r="D98" t="s">
        <v>216</v>
      </c>
      <c r="E98" t="s">
        <v>230</v>
      </c>
      <c r="F98" t="s">
        <v>240</v>
      </c>
      <c r="G98" t="s">
        <v>250</v>
      </c>
      <c r="H98">
        <v>1.5</v>
      </c>
      <c r="I98">
        <v>8</v>
      </c>
      <c r="J98">
        <v>0</v>
      </c>
      <c r="K98">
        <v>12</v>
      </c>
      <c r="L98">
        <v>9.36</v>
      </c>
      <c r="M98">
        <v>2.64</v>
      </c>
      <c r="N98" t="s">
        <v>255</v>
      </c>
    </row>
    <row r="99" spans="1:14" x14ac:dyDescent="0.35">
      <c r="A99" t="s">
        <v>111</v>
      </c>
      <c r="B99" s="3">
        <v>46130</v>
      </c>
      <c r="C99" t="s">
        <v>194</v>
      </c>
      <c r="D99" t="s">
        <v>219</v>
      </c>
      <c r="E99" t="s">
        <v>237</v>
      </c>
      <c r="F99" t="s">
        <v>247</v>
      </c>
      <c r="G99" t="s">
        <v>253</v>
      </c>
      <c r="H99">
        <v>6.5</v>
      </c>
      <c r="I99">
        <v>2</v>
      </c>
      <c r="J99">
        <v>0.1</v>
      </c>
      <c r="K99">
        <v>11.7</v>
      </c>
      <c r="L99">
        <v>10.66</v>
      </c>
      <c r="M99">
        <v>1.04</v>
      </c>
      <c r="N99" t="s">
        <v>255</v>
      </c>
    </row>
    <row r="100" spans="1:14" x14ac:dyDescent="0.35">
      <c r="A100" t="s">
        <v>112</v>
      </c>
      <c r="B100" s="3">
        <v>46090</v>
      </c>
      <c r="C100" t="s">
        <v>196</v>
      </c>
      <c r="D100" t="s">
        <v>218</v>
      </c>
      <c r="E100" t="s">
        <v>228</v>
      </c>
      <c r="F100" t="s">
        <v>238</v>
      </c>
      <c r="G100" t="s">
        <v>248</v>
      </c>
      <c r="H100">
        <v>1.8</v>
      </c>
      <c r="I100">
        <v>10</v>
      </c>
      <c r="J100">
        <v>0.1</v>
      </c>
      <c r="K100">
        <v>16.2</v>
      </c>
      <c r="L100">
        <v>12.96</v>
      </c>
      <c r="M100">
        <v>3.24</v>
      </c>
      <c r="N100" t="s">
        <v>254</v>
      </c>
    </row>
    <row r="101" spans="1:14" x14ac:dyDescent="0.35">
      <c r="A101" t="s">
        <v>113</v>
      </c>
      <c r="B101" s="3">
        <v>46141</v>
      </c>
      <c r="C101" t="s">
        <v>197</v>
      </c>
      <c r="D101" t="s">
        <v>227</v>
      </c>
      <c r="E101" t="s">
        <v>228</v>
      </c>
      <c r="F101" t="s">
        <v>238</v>
      </c>
      <c r="G101" t="s">
        <v>248</v>
      </c>
      <c r="H101">
        <v>1.8</v>
      </c>
      <c r="I101">
        <v>8</v>
      </c>
      <c r="J101">
        <v>0.05</v>
      </c>
      <c r="K101">
        <v>13.68</v>
      </c>
      <c r="L101">
        <v>10.37</v>
      </c>
      <c r="M101">
        <v>3.31</v>
      </c>
      <c r="N101" t="s">
        <v>254</v>
      </c>
    </row>
    <row r="102" spans="1:14" x14ac:dyDescent="0.35">
      <c r="A102" t="s">
        <v>114</v>
      </c>
      <c r="B102" s="3">
        <v>46274</v>
      </c>
      <c r="C102" t="s">
        <v>197</v>
      </c>
      <c r="D102" t="s">
        <v>202</v>
      </c>
      <c r="E102" t="s">
        <v>230</v>
      </c>
      <c r="F102" t="s">
        <v>240</v>
      </c>
      <c r="G102" t="s">
        <v>250</v>
      </c>
      <c r="H102">
        <v>1.5</v>
      </c>
      <c r="I102">
        <v>11</v>
      </c>
      <c r="J102">
        <v>0.05</v>
      </c>
      <c r="K102">
        <v>15.67</v>
      </c>
      <c r="L102">
        <v>12.87</v>
      </c>
      <c r="M102">
        <v>2.8</v>
      </c>
      <c r="N102" t="s">
        <v>254</v>
      </c>
    </row>
    <row r="103" spans="1:14" x14ac:dyDescent="0.35">
      <c r="A103" t="s">
        <v>115</v>
      </c>
      <c r="B103" s="3">
        <v>46199</v>
      </c>
      <c r="C103" t="s">
        <v>194</v>
      </c>
      <c r="D103" t="s">
        <v>198</v>
      </c>
      <c r="E103" t="s">
        <v>229</v>
      </c>
      <c r="F103" t="s">
        <v>239</v>
      </c>
      <c r="G103" t="s">
        <v>249</v>
      </c>
      <c r="H103">
        <v>2.5</v>
      </c>
      <c r="I103">
        <v>7</v>
      </c>
      <c r="J103">
        <v>0</v>
      </c>
      <c r="K103">
        <v>17.5</v>
      </c>
      <c r="L103">
        <v>12.25</v>
      </c>
      <c r="M103">
        <v>5.25</v>
      </c>
      <c r="N103" t="s">
        <v>255</v>
      </c>
    </row>
    <row r="104" spans="1:14" x14ac:dyDescent="0.35">
      <c r="A104" t="s">
        <v>116</v>
      </c>
      <c r="B104" s="3">
        <v>46189</v>
      </c>
      <c r="C104" t="s">
        <v>194</v>
      </c>
      <c r="D104" t="s">
        <v>223</v>
      </c>
      <c r="E104" t="s">
        <v>230</v>
      </c>
      <c r="F104" t="s">
        <v>240</v>
      </c>
      <c r="G104" t="s">
        <v>250</v>
      </c>
      <c r="H104">
        <v>1.5</v>
      </c>
      <c r="I104">
        <v>6</v>
      </c>
      <c r="J104">
        <v>0.05</v>
      </c>
      <c r="K104">
        <v>8.5500000000000007</v>
      </c>
      <c r="L104">
        <v>7.02</v>
      </c>
      <c r="M104">
        <v>1.53</v>
      </c>
      <c r="N104" t="s">
        <v>254</v>
      </c>
    </row>
    <row r="105" spans="1:14" x14ac:dyDescent="0.35">
      <c r="A105" t="s">
        <v>117</v>
      </c>
      <c r="B105" s="3">
        <v>46171</v>
      </c>
      <c r="C105" t="s">
        <v>194</v>
      </c>
      <c r="D105" t="s">
        <v>222</v>
      </c>
      <c r="E105" t="s">
        <v>230</v>
      </c>
      <c r="F105" t="s">
        <v>240</v>
      </c>
      <c r="G105" t="s">
        <v>250</v>
      </c>
      <c r="H105">
        <v>1.5</v>
      </c>
      <c r="I105">
        <v>5</v>
      </c>
      <c r="J105">
        <v>0</v>
      </c>
      <c r="K105">
        <v>7.5</v>
      </c>
      <c r="L105">
        <v>5.85</v>
      </c>
      <c r="M105">
        <v>1.65</v>
      </c>
      <c r="N105" t="s">
        <v>255</v>
      </c>
    </row>
    <row r="106" spans="1:14" x14ac:dyDescent="0.35">
      <c r="A106" t="s">
        <v>118</v>
      </c>
      <c r="B106" s="3">
        <v>46062</v>
      </c>
      <c r="C106" t="s">
        <v>196</v>
      </c>
      <c r="D106" t="s">
        <v>221</v>
      </c>
      <c r="E106" t="s">
        <v>233</v>
      </c>
      <c r="F106" t="s">
        <v>243</v>
      </c>
      <c r="G106" t="s">
        <v>252</v>
      </c>
      <c r="H106">
        <v>3.8</v>
      </c>
      <c r="I106">
        <v>6</v>
      </c>
      <c r="J106">
        <v>0.05</v>
      </c>
      <c r="K106">
        <v>21.66</v>
      </c>
      <c r="L106">
        <v>16.190000000000001</v>
      </c>
      <c r="M106">
        <v>5.47</v>
      </c>
      <c r="N106" t="s">
        <v>254</v>
      </c>
    </row>
    <row r="107" spans="1:14" x14ac:dyDescent="0.35">
      <c r="A107" t="s">
        <v>119</v>
      </c>
      <c r="B107" s="3">
        <v>46075</v>
      </c>
      <c r="C107" t="s">
        <v>195</v>
      </c>
      <c r="D107" t="s">
        <v>225</v>
      </c>
      <c r="E107" t="s">
        <v>236</v>
      </c>
      <c r="F107" t="s">
        <v>246</v>
      </c>
      <c r="G107" t="s">
        <v>248</v>
      </c>
      <c r="H107">
        <v>3.2</v>
      </c>
      <c r="I107">
        <v>1</v>
      </c>
      <c r="J107">
        <v>0</v>
      </c>
      <c r="K107">
        <v>3.2</v>
      </c>
      <c r="L107">
        <v>2.4300000000000002</v>
      </c>
      <c r="M107">
        <v>0.77</v>
      </c>
      <c r="N107" t="s">
        <v>255</v>
      </c>
    </row>
    <row r="108" spans="1:14" x14ac:dyDescent="0.35">
      <c r="A108" t="s">
        <v>120</v>
      </c>
      <c r="B108" s="3">
        <v>46284</v>
      </c>
      <c r="C108" t="s">
        <v>196</v>
      </c>
      <c r="D108" t="s">
        <v>217</v>
      </c>
      <c r="E108" t="s">
        <v>229</v>
      </c>
      <c r="F108" t="s">
        <v>239</v>
      </c>
      <c r="G108" t="s">
        <v>249</v>
      </c>
      <c r="H108">
        <v>2.5</v>
      </c>
      <c r="I108">
        <v>6</v>
      </c>
      <c r="J108">
        <v>0</v>
      </c>
      <c r="K108">
        <v>15</v>
      </c>
      <c r="L108">
        <v>10.5</v>
      </c>
      <c r="M108">
        <v>4.5</v>
      </c>
      <c r="N108" t="s">
        <v>255</v>
      </c>
    </row>
    <row r="109" spans="1:14" x14ac:dyDescent="0.35">
      <c r="A109" t="s">
        <v>121</v>
      </c>
      <c r="B109" s="3">
        <v>46346</v>
      </c>
      <c r="C109" t="s">
        <v>195</v>
      </c>
      <c r="D109" t="s">
        <v>208</v>
      </c>
      <c r="E109" t="s">
        <v>230</v>
      </c>
      <c r="F109" t="s">
        <v>240</v>
      </c>
      <c r="G109" t="s">
        <v>250</v>
      </c>
      <c r="H109">
        <v>1.5</v>
      </c>
      <c r="I109">
        <v>7</v>
      </c>
      <c r="J109">
        <v>0.1</v>
      </c>
      <c r="K109">
        <v>9.4499999999999993</v>
      </c>
      <c r="L109">
        <v>8.19</v>
      </c>
      <c r="M109">
        <v>1.26</v>
      </c>
      <c r="N109" t="s">
        <v>254</v>
      </c>
    </row>
    <row r="110" spans="1:14" x14ac:dyDescent="0.35">
      <c r="A110" t="s">
        <v>122</v>
      </c>
      <c r="B110" s="3">
        <v>46233</v>
      </c>
      <c r="C110" t="s">
        <v>195</v>
      </c>
      <c r="D110" t="s">
        <v>212</v>
      </c>
      <c r="E110" t="s">
        <v>230</v>
      </c>
      <c r="F110" t="s">
        <v>240</v>
      </c>
      <c r="G110" t="s">
        <v>250</v>
      </c>
      <c r="H110">
        <v>1.5</v>
      </c>
      <c r="I110">
        <v>8</v>
      </c>
      <c r="J110">
        <v>0.1</v>
      </c>
      <c r="K110">
        <v>10.8</v>
      </c>
      <c r="L110">
        <v>9.36</v>
      </c>
      <c r="M110">
        <v>1.44</v>
      </c>
      <c r="N110" t="s">
        <v>255</v>
      </c>
    </row>
    <row r="111" spans="1:14" x14ac:dyDescent="0.35">
      <c r="A111" t="s">
        <v>123</v>
      </c>
      <c r="B111" s="3">
        <v>46048</v>
      </c>
      <c r="C111" t="s">
        <v>195</v>
      </c>
      <c r="D111" t="s">
        <v>207</v>
      </c>
      <c r="E111" t="s">
        <v>235</v>
      </c>
      <c r="F111" t="s">
        <v>245</v>
      </c>
      <c r="G111" t="s">
        <v>249</v>
      </c>
      <c r="H111">
        <v>1.4</v>
      </c>
      <c r="I111">
        <v>9</v>
      </c>
      <c r="J111">
        <v>0</v>
      </c>
      <c r="K111">
        <v>12.6</v>
      </c>
      <c r="L111">
        <v>8.57</v>
      </c>
      <c r="M111">
        <v>4.03</v>
      </c>
      <c r="N111" t="s">
        <v>255</v>
      </c>
    </row>
    <row r="112" spans="1:14" x14ac:dyDescent="0.35">
      <c r="A112" t="s">
        <v>124</v>
      </c>
      <c r="B112" s="3">
        <v>46167</v>
      </c>
      <c r="C112" t="s">
        <v>196</v>
      </c>
      <c r="D112" t="s">
        <v>222</v>
      </c>
      <c r="E112" t="s">
        <v>228</v>
      </c>
      <c r="F112" t="s">
        <v>238</v>
      </c>
      <c r="G112" t="s">
        <v>248</v>
      </c>
      <c r="H112">
        <v>1.8</v>
      </c>
      <c r="I112">
        <v>5</v>
      </c>
      <c r="J112">
        <v>0</v>
      </c>
      <c r="K112">
        <v>9</v>
      </c>
      <c r="L112">
        <v>6.48</v>
      </c>
      <c r="M112">
        <v>2.52</v>
      </c>
      <c r="N112" t="s">
        <v>254</v>
      </c>
    </row>
    <row r="113" spans="1:14" x14ac:dyDescent="0.35">
      <c r="A113" t="s">
        <v>125</v>
      </c>
      <c r="B113" s="3">
        <v>46270</v>
      </c>
      <c r="C113" t="s">
        <v>194</v>
      </c>
      <c r="D113" t="s">
        <v>213</v>
      </c>
      <c r="E113" t="s">
        <v>236</v>
      </c>
      <c r="F113" t="s">
        <v>246</v>
      </c>
      <c r="G113" t="s">
        <v>248</v>
      </c>
      <c r="H113">
        <v>3.2</v>
      </c>
      <c r="I113">
        <v>9</v>
      </c>
      <c r="J113">
        <v>0.05</v>
      </c>
      <c r="K113">
        <v>27.36</v>
      </c>
      <c r="L113">
        <v>21.89</v>
      </c>
      <c r="M113">
        <v>5.47</v>
      </c>
      <c r="N113" t="s">
        <v>254</v>
      </c>
    </row>
    <row r="114" spans="1:14" x14ac:dyDescent="0.35">
      <c r="A114" t="s">
        <v>126</v>
      </c>
      <c r="B114" s="3">
        <v>46129</v>
      </c>
      <c r="C114" t="s">
        <v>195</v>
      </c>
      <c r="D114" t="s">
        <v>209</v>
      </c>
      <c r="E114" t="s">
        <v>232</v>
      </c>
      <c r="F114" t="s">
        <v>242</v>
      </c>
      <c r="G114" t="s">
        <v>251</v>
      </c>
      <c r="H114">
        <v>1.2</v>
      </c>
      <c r="I114">
        <v>9</v>
      </c>
      <c r="J114">
        <v>0.05</v>
      </c>
      <c r="K114">
        <v>10.26</v>
      </c>
      <c r="L114">
        <v>8.1</v>
      </c>
      <c r="M114">
        <v>2.16</v>
      </c>
      <c r="N114" t="s">
        <v>255</v>
      </c>
    </row>
    <row r="115" spans="1:14" x14ac:dyDescent="0.35">
      <c r="A115" t="s">
        <v>127</v>
      </c>
      <c r="B115" s="3">
        <v>46241</v>
      </c>
      <c r="C115" t="s">
        <v>195</v>
      </c>
      <c r="D115" t="s">
        <v>225</v>
      </c>
      <c r="E115" t="s">
        <v>235</v>
      </c>
      <c r="F115" t="s">
        <v>245</v>
      </c>
      <c r="G115" t="s">
        <v>249</v>
      </c>
      <c r="H115">
        <v>1.4</v>
      </c>
      <c r="I115">
        <v>3</v>
      </c>
      <c r="J115">
        <v>0.1</v>
      </c>
      <c r="K115">
        <v>3.78</v>
      </c>
      <c r="L115">
        <v>2.86</v>
      </c>
      <c r="M115">
        <v>0.92</v>
      </c>
      <c r="N115" t="s">
        <v>254</v>
      </c>
    </row>
    <row r="116" spans="1:14" x14ac:dyDescent="0.35">
      <c r="A116" t="s">
        <v>128</v>
      </c>
      <c r="B116" s="3">
        <v>46198</v>
      </c>
      <c r="C116" t="s">
        <v>196</v>
      </c>
      <c r="D116" t="s">
        <v>225</v>
      </c>
      <c r="E116" t="s">
        <v>231</v>
      </c>
      <c r="F116" t="s">
        <v>241</v>
      </c>
      <c r="G116" t="s">
        <v>250</v>
      </c>
      <c r="H116">
        <v>2.8</v>
      </c>
      <c r="I116">
        <v>9</v>
      </c>
      <c r="J116">
        <v>0</v>
      </c>
      <c r="K116">
        <v>25.2</v>
      </c>
      <c r="L116">
        <v>20.16</v>
      </c>
      <c r="M116">
        <v>5.04</v>
      </c>
      <c r="N116" t="s">
        <v>255</v>
      </c>
    </row>
    <row r="117" spans="1:14" x14ac:dyDescent="0.35">
      <c r="A117" t="s">
        <v>129</v>
      </c>
      <c r="B117" s="3">
        <v>46314</v>
      </c>
      <c r="C117" t="s">
        <v>197</v>
      </c>
      <c r="D117" t="s">
        <v>222</v>
      </c>
      <c r="E117" t="s">
        <v>236</v>
      </c>
      <c r="F117" t="s">
        <v>246</v>
      </c>
      <c r="G117" t="s">
        <v>248</v>
      </c>
      <c r="H117">
        <v>3.2</v>
      </c>
      <c r="I117">
        <v>4</v>
      </c>
      <c r="J117">
        <v>0</v>
      </c>
      <c r="K117">
        <v>12.8</v>
      </c>
      <c r="L117">
        <v>9.73</v>
      </c>
      <c r="M117">
        <v>3.07</v>
      </c>
      <c r="N117" t="s">
        <v>255</v>
      </c>
    </row>
    <row r="118" spans="1:14" x14ac:dyDescent="0.35">
      <c r="A118" t="s">
        <v>130</v>
      </c>
      <c r="B118" s="3">
        <v>46130</v>
      </c>
      <c r="C118" t="s">
        <v>196</v>
      </c>
      <c r="D118" t="s">
        <v>215</v>
      </c>
      <c r="E118" t="s">
        <v>234</v>
      </c>
      <c r="F118" t="s">
        <v>244</v>
      </c>
      <c r="G118" t="s">
        <v>252</v>
      </c>
      <c r="H118">
        <v>5.5</v>
      </c>
      <c r="I118">
        <v>7</v>
      </c>
      <c r="J118">
        <v>0</v>
      </c>
      <c r="K118">
        <v>38.5</v>
      </c>
      <c r="L118">
        <v>28.1</v>
      </c>
      <c r="M118">
        <v>10.4</v>
      </c>
      <c r="N118" t="s">
        <v>254</v>
      </c>
    </row>
    <row r="119" spans="1:14" x14ac:dyDescent="0.35">
      <c r="A119" t="s">
        <v>131</v>
      </c>
      <c r="B119" s="3">
        <v>46165</v>
      </c>
      <c r="C119" t="s">
        <v>195</v>
      </c>
      <c r="D119" t="s">
        <v>204</v>
      </c>
      <c r="E119" t="s">
        <v>235</v>
      </c>
      <c r="F119" t="s">
        <v>245</v>
      </c>
      <c r="G119" t="s">
        <v>249</v>
      </c>
      <c r="H119">
        <v>1.4</v>
      </c>
      <c r="I119">
        <v>10</v>
      </c>
      <c r="J119">
        <v>0</v>
      </c>
      <c r="K119">
        <v>14</v>
      </c>
      <c r="L119">
        <v>9.52</v>
      </c>
      <c r="M119">
        <v>4.4800000000000004</v>
      </c>
      <c r="N119" t="s">
        <v>254</v>
      </c>
    </row>
    <row r="120" spans="1:14" x14ac:dyDescent="0.35">
      <c r="A120" t="s">
        <v>132</v>
      </c>
      <c r="B120" s="3">
        <v>46161</v>
      </c>
      <c r="C120" t="s">
        <v>197</v>
      </c>
      <c r="D120" t="s">
        <v>212</v>
      </c>
      <c r="E120" t="s">
        <v>232</v>
      </c>
      <c r="F120" t="s">
        <v>242</v>
      </c>
      <c r="G120" t="s">
        <v>251</v>
      </c>
      <c r="H120">
        <v>1.2</v>
      </c>
      <c r="I120">
        <v>4</v>
      </c>
      <c r="J120">
        <v>0.05</v>
      </c>
      <c r="K120">
        <v>4.5599999999999996</v>
      </c>
      <c r="L120">
        <v>3.6</v>
      </c>
      <c r="M120">
        <v>0.96</v>
      </c>
      <c r="N120" t="s">
        <v>255</v>
      </c>
    </row>
    <row r="121" spans="1:14" x14ac:dyDescent="0.35">
      <c r="A121" t="s">
        <v>133</v>
      </c>
      <c r="B121" s="3">
        <v>46182</v>
      </c>
      <c r="C121" t="s">
        <v>194</v>
      </c>
      <c r="D121" t="s">
        <v>220</v>
      </c>
      <c r="E121" t="s">
        <v>229</v>
      </c>
      <c r="F121" t="s">
        <v>239</v>
      </c>
      <c r="G121" t="s">
        <v>249</v>
      </c>
      <c r="H121">
        <v>2.5</v>
      </c>
      <c r="I121">
        <v>1</v>
      </c>
      <c r="J121">
        <v>0</v>
      </c>
      <c r="K121">
        <v>2.5</v>
      </c>
      <c r="L121">
        <v>1.75</v>
      </c>
      <c r="M121">
        <v>0.75</v>
      </c>
      <c r="N121" t="s">
        <v>255</v>
      </c>
    </row>
    <row r="122" spans="1:14" x14ac:dyDescent="0.35">
      <c r="A122" t="s">
        <v>134</v>
      </c>
      <c r="B122" s="3">
        <v>46273</v>
      </c>
      <c r="C122" t="s">
        <v>197</v>
      </c>
      <c r="D122" t="s">
        <v>223</v>
      </c>
      <c r="E122" t="s">
        <v>233</v>
      </c>
      <c r="F122" t="s">
        <v>243</v>
      </c>
      <c r="G122" t="s">
        <v>252</v>
      </c>
      <c r="H122">
        <v>3.8</v>
      </c>
      <c r="I122">
        <v>1</v>
      </c>
      <c r="J122">
        <v>0</v>
      </c>
      <c r="K122">
        <v>3.8</v>
      </c>
      <c r="L122">
        <v>2.7</v>
      </c>
      <c r="M122">
        <v>1.1000000000000001</v>
      </c>
      <c r="N122" t="s">
        <v>255</v>
      </c>
    </row>
    <row r="123" spans="1:14" x14ac:dyDescent="0.35">
      <c r="A123" t="s">
        <v>135</v>
      </c>
      <c r="B123" s="3">
        <v>46150</v>
      </c>
      <c r="C123" t="s">
        <v>195</v>
      </c>
      <c r="D123" t="s">
        <v>219</v>
      </c>
      <c r="E123" t="s">
        <v>235</v>
      </c>
      <c r="F123" t="s">
        <v>245</v>
      </c>
      <c r="G123" t="s">
        <v>249</v>
      </c>
      <c r="H123">
        <v>1.4</v>
      </c>
      <c r="I123">
        <v>2</v>
      </c>
      <c r="J123">
        <v>0</v>
      </c>
      <c r="K123">
        <v>2.8</v>
      </c>
      <c r="L123">
        <v>1.9</v>
      </c>
      <c r="M123">
        <v>0.9</v>
      </c>
      <c r="N123" t="s">
        <v>254</v>
      </c>
    </row>
    <row r="124" spans="1:14" x14ac:dyDescent="0.35">
      <c r="A124" t="s">
        <v>136</v>
      </c>
      <c r="B124" s="3">
        <v>46066</v>
      </c>
      <c r="C124" t="s">
        <v>194</v>
      </c>
      <c r="D124" t="s">
        <v>217</v>
      </c>
      <c r="E124" t="s">
        <v>235</v>
      </c>
      <c r="F124" t="s">
        <v>245</v>
      </c>
      <c r="G124" t="s">
        <v>249</v>
      </c>
      <c r="H124">
        <v>1.4</v>
      </c>
      <c r="I124">
        <v>9</v>
      </c>
      <c r="J124">
        <v>0</v>
      </c>
      <c r="K124">
        <v>12.6</v>
      </c>
      <c r="L124">
        <v>8.57</v>
      </c>
      <c r="M124">
        <v>4.03</v>
      </c>
      <c r="N124" t="s">
        <v>254</v>
      </c>
    </row>
    <row r="125" spans="1:14" x14ac:dyDescent="0.35">
      <c r="A125" t="s">
        <v>137</v>
      </c>
      <c r="B125" s="3">
        <v>46314</v>
      </c>
      <c r="C125" t="s">
        <v>195</v>
      </c>
      <c r="D125" t="s">
        <v>212</v>
      </c>
      <c r="E125" t="s">
        <v>237</v>
      </c>
      <c r="F125" t="s">
        <v>247</v>
      </c>
      <c r="G125" t="s">
        <v>253</v>
      </c>
      <c r="H125">
        <v>6.5</v>
      </c>
      <c r="I125">
        <v>1</v>
      </c>
      <c r="J125">
        <v>0</v>
      </c>
      <c r="K125">
        <v>6.5</v>
      </c>
      <c r="L125">
        <v>5.33</v>
      </c>
      <c r="M125">
        <v>1.17</v>
      </c>
      <c r="N125" t="s">
        <v>255</v>
      </c>
    </row>
    <row r="126" spans="1:14" x14ac:dyDescent="0.35">
      <c r="A126" t="s">
        <v>138</v>
      </c>
      <c r="B126" s="3">
        <v>46348</v>
      </c>
      <c r="C126" t="s">
        <v>194</v>
      </c>
      <c r="D126" t="s">
        <v>211</v>
      </c>
      <c r="E126" t="s">
        <v>234</v>
      </c>
      <c r="F126" t="s">
        <v>244</v>
      </c>
      <c r="G126" t="s">
        <v>252</v>
      </c>
      <c r="H126">
        <v>5.5</v>
      </c>
      <c r="I126">
        <v>7</v>
      </c>
      <c r="J126">
        <v>0</v>
      </c>
      <c r="K126">
        <v>38.5</v>
      </c>
      <c r="L126">
        <v>28.1</v>
      </c>
      <c r="M126">
        <v>10.4</v>
      </c>
      <c r="N126" t="s">
        <v>255</v>
      </c>
    </row>
    <row r="127" spans="1:14" x14ac:dyDescent="0.35">
      <c r="A127" t="s">
        <v>139</v>
      </c>
      <c r="B127" s="3">
        <v>46321</v>
      </c>
      <c r="C127" t="s">
        <v>196</v>
      </c>
      <c r="D127" t="s">
        <v>225</v>
      </c>
      <c r="E127" t="s">
        <v>234</v>
      </c>
      <c r="F127" t="s">
        <v>244</v>
      </c>
      <c r="G127" t="s">
        <v>252</v>
      </c>
      <c r="H127">
        <v>5.5</v>
      </c>
      <c r="I127">
        <v>4</v>
      </c>
      <c r="J127">
        <v>0.05</v>
      </c>
      <c r="K127">
        <v>20.9</v>
      </c>
      <c r="L127">
        <v>16.059999999999999</v>
      </c>
      <c r="M127">
        <v>4.84</v>
      </c>
      <c r="N127" t="s">
        <v>254</v>
      </c>
    </row>
    <row r="128" spans="1:14" x14ac:dyDescent="0.35">
      <c r="A128" t="s">
        <v>140</v>
      </c>
      <c r="B128" s="3">
        <v>46298</v>
      </c>
      <c r="C128" t="s">
        <v>196</v>
      </c>
      <c r="D128" t="s">
        <v>226</v>
      </c>
      <c r="E128" t="s">
        <v>230</v>
      </c>
      <c r="F128" t="s">
        <v>240</v>
      </c>
      <c r="G128" t="s">
        <v>250</v>
      </c>
      <c r="H128">
        <v>1.5</v>
      </c>
      <c r="I128">
        <v>5</v>
      </c>
      <c r="J128">
        <v>0.05</v>
      </c>
      <c r="K128">
        <v>7.12</v>
      </c>
      <c r="L128">
        <v>5.85</v>
      </c>
      <c r="M128">
        <v>1.27</v>
      </c>
      <c r="N128" t="s">
        <v>254</v>
      </c>
    </row>
    <row r="129" spans="1:14" x14ac:dyDescent="0.35">
      <c r="A129" t="s">
        <v>141</v>
      </c>
      <c r="B129" s="3">
        <v>46292</v>
      </c>
      <c r="C129" t="s">
        <v>195</v>
      </c>
      <c r="D129" t="s">
        <v>227</v>
      </c>
      <c r="E129" t="s">
        <v>235</v>
      </c>
      <c r="F129" t="s">
        <v>245</v>
      </c>
      <c r="G129" t="s">
        <v>249</v>
      </c>
      <c r="H129">
        <v>1.4</v>
      </c>
      <c r="I129">
        <v>4</v>
      </c>
      <c r="J129">
        <v>0.1</v>
      </c>
      <c r="K129">
        <v>5.04</v>
      </c>
      <c r="L129">
        <v>3.81</v>
      </c>
      <c r="M129">
        <v>1.23</v>
      </c>
      <c r="N129" t="s">
        <v>255</v>
      </c>
    </row>
    <row r="130" spans="1:14" x14ac:dyDescent="0.35">
      <c r="A130" t="s">
        <v>142</v>
      </c>
      <c r="B130" s="3">
        <v>46051</v>
      </c>
      <c r="C130" t="s">
        <v>197</v>
      </c>
      <c r="D130" t="s">
        <v>218</v>
      </c>
      <c r="E130" t="s">
        <v>236</v>
      </c>
      <c r="F130" t="s">
        <v>246</v>
      </c>
      <c r="G130" t="s">
        <v>248</v>
      </c>
      <c r="H130">
        <v>3.2</v>
      </c>
      <c r="I130">
        <v>1</v>
      </c>
      <c r="J130">
        <v>0</v>
      </c>
      <c r="K130">
        <v>3.2</v>
      </c>
      <c r="L130">
        <v>2.4300000000000002</v>
      </c>
      <c r="M130">
        <v>0.77</v>
      </c>
      <c r="N130" t="s">
        <v>255</v>
      </c>
    </row>
    <row r="131" spans="1:14" x14ac:dyDescent="0.35">
      <c r="A131" t="s">
        <v>143</v>
      </c>
      <c r="B131" s="3">
        <v>46154</v>
      </c>
      <c r="C131" t="s">
        <v>196</v>
      </c>
      <c r="D131" t="s">
        <v>225</v>
      </c>
      <c r="E131" t="s">
        <v>232</v>
      </c>
      <c r="F131" t="s">
        <v>242</v>
      </c>
      <c r="G131" t="s">
        <v>251</v>
      </c>
      <c r="H131">
        <v>1.2</v>
      </c>
      <c r="I131">
        <v>4</v>
      </c>
      <c r="J131">
        <v>0.05</v>
      </c>
      <c r="K131">
        <v>4.5599999999999996</v>
      </c>
      <c r="L131">
        <v>3.6</v>
      </c>
      <c r="M131">
        <v>0.96</v>
      </c>
      <c r="N131" t="s">
        <v>255</v>
      </c>
    </row>
    <row r="132" spans="1:14" x14ac:dyDescent="0.35">
      <c r="A132" t="s">
        <v>144</v>
      </c>
      <c r="B132" s="3">
        <v>46379</v>
      </c>
      <c r="C132" t="s">
        <v>196</v>
      </c>
      <c r="D132" t="s">
        <v>204</v>
      </c>
      <c r="E132" t="s">
        <v>230</v>
      </c>
      <c r="F132" t="s">
        <v>240</v>
      </c>
      <c r="G132" t="s">
        <v>250</v>
      </c>
      <c r="H132">
        <v>1.5</v>
      </c>
      <c r="I132">
        <v>6</v>
      </c>
      <c r="J132">
        <v>0.05</v>
      </c>
      <c r="K132">
        <v>8.5500000000000007</v>
      </c>
      <c r="L132">
        <v>7.02</v>
      </c>
      <c r="M132">
        <v>1.53</v>
      </c>
      <c r="N132" t="s">
        <v>255</v>
      </c>
    </row>
    <row r="133" spans="1:14" x14ac:dyDescent="0.35">
      <c r="A133" t="s">
        <v>145</v>
      </c>
      <c r="B133" s="3">
        <v>46026</v>
      </c>
      <c r="C133" t="s">
        <v>194</v>
      </c>
      <c r="D133" t="s">
        <v>214</v>
      </c>
      <c r="E133" t="s">
        <v>237</v>
      </c>
      <c r="F133" t="s">
        <v>247</v>
      </c>
      <c r="G133" t="s">
        <v>253</v>
      </c>
      <c r="H133">
        <v>6.5</v>
      </c>
      <c r="I133">
        <v>5</v>
      </c>
      <c r="J133">
        <v>0.1</v>
      </c>
      <c r="K133">
        <v>29.25</v>
      </c>
      <c r="L133">
        <v>26.65</v>
      </c>
      <c r="M133">
        <v>2.6</v>
      </c>
      <c r="N133" t="s">
        <v>255</v>
      </c>
    </row>
    <row r="134" spans="1:14" x14ac:dyDescent="0.35">
      <c r="A134" t="s">
        <v>146</v>
      </c>
      <c r="B134" s="3">
        <v>46182</v>
      </c>
      <c r="C134" t="s">
        <v>197</v>
      </c>
      <c r="D134" t="s">
        <v>225</v>
      </c>
      <c r="E134" t="s">
        <v>237</v>
      </c>
      <c r="F134" t="s">
        <v>247</v>
      </c>
      <c r="G134" t="s">
        <v>253</v>
      </c>
      <c r="H134">
        <v>6.5</v>
      </c>
      <c r="I134">
        <v>4</v>
      </c>
      <c r="J134">
        <v>0</v>
      </c>
      <c r="K134">
        <v>26</v>
      </c>
      <c r="L134">
        <v>21.32</v>
      </c>
      <c r="M134">
        <v>4.68</v>
      </c>
      <c r="N134" t="s">
        <v>255</v>
      </c>
    </row>
    <row r="135" spans="1:14" x14ac:dyDescent="0.35">
      <c r="A135" t="s">
        <v>147</v>
      </c>
      <c r="B135" s="3">
        <v>46078</v>
      </c>
      <c r="C135" t="s">
        <v>195</v>
      </c>
      <c r="D135" t="s">
        <v>218</v>
      </c>
      <c r="E135" t="s">
        <v>236</v>
      </c>
      <c r="F135" t="s">
        <v>246</v>
      </c>
      <c r="G135" t="s">
        <v>248</v>
      </c>
      <c r="H135">
        <v>3.2</v>
      </c>
      <c r="I135">
        <v>10</v>
      </c>
      <c r="J135">
        <v>0.05</v>
      </c>
      <c r="K135">
        <v>30.4</v>
      </c>
      <c r="L135">
        <v>24.32</v>
      </c>
      <c r="M135">
        <v>6.08</v>
      </c>
      <c r="N135" t="s">
        <v>254</v>
      </c>
    </row>
    <row r="136" spans="1:14" x14ac:dyDescent="0.35">
      <c r="A136" t="s">
        <v>148</v>
      </c>
      <c r="B136" s="3">
        <v>46236</v>
      </c>
      <c r="C136" t="s">
        <v>195</v>
      </c>
      <c r="D136" t="s">
        <v>223</v>
      </c>
      <c r="E136" t="s">
        <v>235</v>
      </c>
      <c r="F136" t="s">
        <v>245</v>
      </c>
      <c r="G136" t="s">
        <v>249</v>
      </c>
      <c r="H136">
        <v>1.4</v>
      </c>
      <c r="I136">
        <v>11</v>
      </c>
      <c r="J136">
        <v>0</v>
      </c>
      <c r="K136">
        <v>15.4</v>
      </c>
      <c r="L136">
        <v>10.47</v>
      </c>
      <c r="M136">
        <v>4.93</v>
      </c>
      <c r="N136" t="s">
        <v>255</v>
      </c>
    </row>
    <row r="137" spans="1:14" x14ac:dyDescent="0.35">
      <c r="A137" t="s">
        <v>149</v>
      </c>
      <c r="B137" s="3">
        <v>46132</v>
      </c>
      <c r="C137" t="s">
        <v>195</v>
      </c>
      <c r="D137" t="s">
        <v>220</v>
      </c>
      <c r="E137" t="s">
        <v>230</v>
      </c>
      <c r="F137" t="s">
        <v>240</v>
      </c>
      <c r="G137" t="s">
        <v>250</v>
      </c>
      <c r="H137">
        <v>1.5</v>
      </c>
      <c r="I137">
        <v>1</v>
      </c>
      <c r="J137">
        <v>0.1</v>
      </c>
      <c r="K137">
        <v>1.35</v>
      </c>
      <c r="L137">
        <v>1.17</v>
      </c>
      <c r="M137">
        <v>0.18</v>
      </c>
      <c r="N137" t="s">
        <v>254</v>
      </c>
    </row>
    <row r="138" spans="1:14" x14ac:dyDescent="0.35">
      <c r="A138" t="s">
        <v>150</v>
      </c>
      <c r="B138" s="3">
        <v>46117</v>
      </c>
      <c r="C138" t="s">
        <v>196</v>
      </c>
      <c r="D138" t="s">
        <v>208</v>
      </c>
      <c r="E138" t="s">
        <v>230</v>
      </c>
      <c r="F138" t="s">
        <v>240</v>
      </c>
      <c r="G138" t="s">
        <v>250</v>
      </c>
      <c r="H138">
        <v>1.5</v>
      </c>
      <c r="I138">
        <v>7</v>
      </c>
      <c r="J138">
        <v>0.05</v>
      </c>
      <c r="K138">
        <v>9.9700000000000006</v>
      </c>
      <c r="L138">
        <v>8.19</v>
      </c>
      <c r="M138">
        <v>1.78</v>
      </c>
      <c r="N138" t="s">
        <v>254</v>
      </c>
    </row>
    <row r="139" spans="1:14" x14ac:dyDescent="0.35">
      <c r="A139" t="s">
        <v>151</v>
      </c>
      <c r="B139" s="3">
        <v>46107</v>
      </c>
      <c r="C139" t="s">
        <v>195</v>
      </c>
      <c r="D139" t="s">
        <v>212</v>
      </c>
      <c r="E139" t="s">
        <v>232</v>
      </c>
      <c r="F139" t="s">
        <v>242</v>
      </c>
      <c r="G139" t="s">
        <v>251</v>
      </c>
      <c r="H139">
        <v>1.2</v>
      </c>
      <c r="I139">
        <v>6</v>
      </c>
      <c r="J139">
        <v>0</v>
      </c>
      <c r="K139">
        <v>7.2</v>
      </c>
      <c r="L139">
        <v>5.4</v>
      </c>
      <c r="M139">
        <v>1.8</v>
      </c>
      <c r="N139" t="s">
        <v>255</v>
      </c>
    </row>
    <row r="140" spans="1:14" x14ac:dyDescent="0.35">
      <c r="A140" t="s">
        <v>152</v>
      </c>
      <c r="B140" s="3">
        <v>46182</v>
      </c>
      <c r="C140" t="s">
        <v>196</v>
      </c>
      <c r="D140" t="s">
        <v>226</v>
      </c>
      <c r="E140" t="s">
        <v>230</v>
      </c>
      <c r="F140" t="s">
        <v>240</v>
      </c>
      <c r="G140" t="s">
        <v>250</v>
      </c>
      <c r="H140">
        <v>1.5</v>
      </c>
      <c r="I140">
        <v>11</v>
      </c>
      <c r="J140">
        <v>0.05</v>
      </c>
      <c r="K140">
        <v>15.67</v>
      </c>
      <c r="L140">
        <v>12.87</v>
      </c>
      <c r="M140">
        <v>2.8</v>
      </c>
      <c r="N140" t="s">
        <v>255</v>
      </c>
    </row>
    <row r="141" spans="1:14" x14ac:dyDescent="0.35">
      <c r="A141" t="s">
        <v>153</v>
      </c>
      <c r="B141" s="3">
        <v>46078</v>
      </c>
      <c r="C141" t="s">
        <v>196</v>
      </c>
      <c r="D141" t="s">
        <v>211</v>
      </c>
      <c r="E141" t="s">
        <v>231</v>
      </c>
      <c r="F141" t="s">
        <v>241</v>
      </c>
      <c r="G141" t="s">
        <v>250</v>
      </c>
      <c r="H141">
        <v>2.8</v>
      </c>
      <c r="I141">
        <v>1</v>
      </c>
      <c r="J141">
        <v>0</v>
      </c>
      <c r="K141">
        <v>2.8</v>
      </c>
      <c r="L141">
        <v>2.2400000000000002</v>
      </c>
      <c r="M141">
        <v>0.56000000000000005</v>
      </c>
      <c r="N141" t="s">
        <v>255</v>
      </c>
    </row>
    <row r="142" spans="1:14" x14ac:dyDescent="0.35">
      <c r="A142" t="s">
        <v>154</v>
      </c>
      <c r="B142" s="3">
        <v>46086</v>
      </c>
      <c r="C142" t="s">
        <v>197</v>
      </c>
      <c r="D142" t="s">
        <v>224</v>
      </c>
      <c r="E142" t="s">
        <v>229</v>
      </c>
      <c r="F142" t="s">
        <v>239</v>
      </c>
      <c r="G142" t="s">
        <v>249</v>
      </c>
      <c r="H142">
        <v>2.5</v>
      </c>
      <c r="I142">
        <v>9</v>
      </c>
      <c r="J142">
        <v>0</v>
      </c>
      <c r="K142">
        <v>22.5</v>
      </c>
      <c r="L142">
        <v>15.75</v>
      </c>
      <c r="M142">
        <v>6.75</v>
      </c>
      <c r="N142" t="s">
        <v>255</v>
      </c>
    </row>
    <row r="143" spans="1:14" x14ac:dyDescent="0.35">
      <c r="A143" t="s">
        <v>155</v>
      </c>
      <c r="B143" s="3">
        <v>46067</v>
      </c>
      <c r="C143" t="s">
        <v>195</v>
      </c>
      <c r="D143" t="s">
        <v>224</v>
      </c>
      <c r="E143" t="s">
        <v>229</v>
      </c>
      <c r="F143" t="s">
        <v>239</v>
      </c>
      <c r="G143" t="s">
        <v>249</v>
      </c>
      <c r="H143">
        <v>2.5</v>
      </c>
      <c r="I143">
        <v>1</v>
      </c>
      <c r="J143">
        <v>0.05</v>
      </c>
      <c r="K143">
        <v>2.38</v>
      </c>
      <c r="L143">
        <v>1.75</v>
      </c>
      <c r="M143">
        <v>0.63</v>
      </c>
      <c r="N143" t="s">
        <v>255</v>
      </c>
    </row>
    <row r="144" spans="1:14" x14ac:dyDescent="0.35">
      <c r="A144" t="s">
        <v>156</v>
      </c>
      <c r="B144" s="3">
        <v>46188</v>
      </c>
      <c r="C144" t="s">
        <v>194</v>
      </c>
      <c r="D144" t="s">
        <v>212</v>
      </c>
      <c r="E144" t="s">
        <v>237</v>
      </c>
      <c r="F144" t="s">
        <v>247</v>
      </c>
      <c r="G144" t="s">
        <v>253</v>
      </c>
      <c r="H144">
        <v>6.5</v>
      </c>
      <c r="I144">
        <v>6</v>
      </c>
      <c r="J144">
        <v>0.05</v>
      </c>
      <c r="K144">
        <v>37.049999999999997</v>
      </c>
      <c r="L144">
        <v>31.98</v>
      </c>
      <c r="M144">
        <v>5.07</v>
      </c>
      <c r="N144" t="s">
        <v>255</v>
      </c>
    </row>
    <row r="145" spans="1:14" x14ac:dyDescent="0.35">
      <c r="A145" t="s">
        <v>157</v>
      </c>
      <c r="B145" s="3">
        <v>46343</v>
      </c>
      <c r="C145" t="s">
        <v>197</v>
      </c>
      <c r="D145" t="s">
        <v>199</v>
      </c>
      <c r="E145" t="s">
        <v>237</v>
      </c>
      <c r="F145" t="s">
        <v>247</v>
      </c>
      <c r="G145" t="s">
        <v>253</v>
      </c>
      <c r="H145">
        <v>6.5</v>
      </c>
      <c r="I145">
        <v>7</v>
      </c>
      <c r="J145">
        <v>0</v>
      </c>
      <c r="K145">
        <v>45.5</v>
      </c>
      <c r="L145">
        <v>37.31</v>
      </c>
      <c r="M145">
        <v>8.19</v>
      </c>
      <c r="N145" t="s">
        <v>255</v>
      </c>
    </row>
    <row r="146" spans="1:14" x14ac:dyDescent="0.35">
      <c r="A146" t="s">
        <v>158</v>
      </c>
      <c r="B146" s="3">
        <v>46054</v>
      </c>
      <c r="C146" t="s">
        <v>194</v>
      </c>
      <c r="D146" t="s">
        <v>218</v>
      </c>
      <c r="E146" t="s">
        <v>232</v>
      </c>
      <c r="F146" t="s">
        <v>242</v>
      </c>
      <c r="G146" t="s">
        <v>251</v>
      </c>
      <c r="H146">
        <v>1.2</v>
      </c>
      <c r="I146">
        <v>5</v>
      </c>
      <c r="J146">
        <v>0</v>
      </c>
      <c r="K146">
        <v>6</v>
      </c>
      <c r="L146">
        <v>4.5</v>
      </c>
      <c r="M146">
        <v>1.5</v>
      </c>
      <c r="N146" t="s">
        <v>255</v>
      </c>
    </row>
    <row r="147" spans="1:14" x14ac:dyDescent="0.35">
      <c r="A147" t="s">
        <v>159</v>
      </c>
      <c r="B147" s="3">
        <v>46162</v>
      </c>
      <c r="C147" t="s">
        <v>194</v>
      </c>
      <c r="D147" t="s">
        <v>216</v>
      </c>
      <c r="E147" t="s">
        <v>228</v>
      </c>
      <c r="F147" t="s">
        <v>238</v>
      </c>
      <c r="G147" t="s">
        <v>248</v>
      </c>
      <c r="H147">
        <v>1.8</v>
      </c>
      <c r="I147">
        <v>6</v>
      </c>
      <c r="J147">
        <v>0.1</v>
      </c>
      <c r="K147">
        <v>9.7200000000000006</v>
      </c>
      <c r="L147">
        <v>7.78</v>
      </c>
      <c r="M147">
        <v>1.94</v>
      </c>
      <c r="N147" t="s">
        <v>255</v>
      </c>
    </row>
    <row r="148" spans="1:14" x14ac:dyDescent="0.35">
      <c r="A148" t="s">
        <v>160</v>
      </c>
      <c r="B148" s="3">
        <v>46175</v>
      </c>
      <c r="C148" t="s">
        <v>194</v>
      </c>
      <c r="D148" t="s">
        <v>227</v>
      </c>
      <c r="E148" t="s">
        <v>236</v>
      </c>
      <c r="F148" t="s">
        <v>246</v>
      </c>
      <c r="G148" t="s">
        <v>248</v>
      </c>
      <c r="H148">
        <v>3.2</v>
      </c>
      <c r="I148">
        <v>1</v>
      </c>
      <c r="J148">
        <v>0.1</v>
      </c>
      <c r="K148">
        <v>2.88</v>
      </c>
      <c r="L148">
        <v>2.4300000000000002</v>
      </c>
      <c r="M148">
        <v>0.45</v>
      </c>
      <c r="N148" t="s">
        <v>254</v>
      </c>
    </row>
    <row r="149" spans="1:14" x14ac:dyDescent="0.35">
      <c r="A149" t="s">
        <v>161</v>
      </c>
      <c r="B149" s="3">
        <v>46266</v>
      </c>
      <c r="C149" t="s">
        <v>197</v>
      </c>
      <c r="D149" t="s">
        <v>217</v>
      </c>
      <c r="E149" t="s">
        <v>232</v>
      </c>
      <c r="F149" t="s">
        <v>242</v>
      </c>
      <c r="G149" t="s">
        <v>251</v>
      </c>
      <c r="H149">
        <v>1.2</v>
      </c>
      <c r="I149">
        <v>12</v>
      </c>
      <c r="J149">
        <v>0.05</v>
      </c>
      <c r="K149">
        <v>13.68</v>
      </c>
      <c r="L149">
        <v>10.8</v>
      </c>
      <c r="M149">
        <v>2.88</v>
      </c>
      <c r="N149" t="s">
        <v>255</v>
      </c>
    </row>
    <row r="150" spans="1:14" x14ac:dyDescent="0.35">
      <c r="A150" t="s">
        <v>162</v>
      </c>
      <c r="B150" s="3">
        <v>46275</v>
      </c>
      <c r="C150" t="s">
        <v>195</v>
      </c>
      <c r="D150" t="s">
        <v>227</v>
      </c>
      <c r="E150" t="s">
        <v>229</v>
      </c>
      <c r="F150" t="s">
        <v>239</v>
      </c>
      <c r="G150" t="s">
        <v>249</v>
      </c>
      <c r="H150">
        <v>2.5</v>
      </c>
      <c r="I150">
        <v>3</v>
      </c>
      <c r="J150">
        <v>0.05</v>
      </c>
      <c r="K150">
        <v>7.12</v>
      </c>
      <c r="L150">
        <v>5.25</v>
      </c>
      <c r="M150">
        <v>1.87</v>
      </c>
      <c r="N150" t="s">
        <v>255</v>
      </c>
    </row>
    <row r="151" spans="1:14" x14ac:dyDescent="0.35">
      <c r="A151" t="s">
        <v>163</v>
      </c>
      <c r="B151" s="3">
        <v>46333</v>
      </c>
      <c r="C151" t="s">
        <v>196</v>
      </c>
      <c r="D151" t="s">
        <v>209</v>
      </c>
      <c r="E151" t="s">
        <v>231</v>
      </c>
      <c r="F151" t="s">
        <v>241</v>
      </c>
      <c r="G151" t="s">
        <v>250</v>
      </c>
      <c r="H151">
        <v>2.8</v>
      </c>
      <c r="I151">
        <v>4</v>
      </c>
      <c r="J151">
        <v>0</v>
      </c>
      <c r="K151">
        <v>11.2</v>
      </c>
      <c r="L151">
        <v>8.9600000000000009</v>
      </c>
      <c r="M151">
        <v>2.2400000000000002</v>
      </c>
      <c r="N151" t="s">
        <v>255</v>
      </c>
    </row>
    <row r="152" spans="1:14" x14ac:dyDescent="0.35">
      <c r="A152" t="s">
        <v>164</v>
      </c>
      <c r="B152" s="3">
        <v>46063</v>
      </c>
      <c r="C152" t="s">
        <v>197</v>
      </c>
      <c r="D152" t="s">
        <v>215</v>
      </c>
      <c r="E152" t="s">
        <v>233</v>
      </c>
      <c r="F152" t="s">
        <v>243</v>
      </c>
      <c r="G152" t="s">
        <v>252</v>
      </c>
      <c r="H152">
        <v>3.8</v>
      </c>
      <c r="I152">
        <v>9</v>
      </c>
      <c r="J152">
        <v>0</v>
      </c>
      <c r="K152">
        <v>34.200000000000003</v>
      </c>
      <c r="L152">
        <v>24.28</v>
      </c>
      <c r="M152">
        <v>9.92</v>
      </c>
      <c r="N152" t="s">
        <v>254</v>
      </c>
    </row>
    <row r="153" spans="1:14" x14ac:dyDescent="0.35">
      <c r="A153" t="s">
        <v>165</v>
      </c>
      <c r="B153" s="3">
        <v>46231</v>
      </c>
      <c r="C153" t="s">
        <v>197</v>
      </c>
      <c r="D153" t="s">
        <v>200</v>
      </c>
      <c r="E153" t="s">
        <v>237</v>
      </c>
      <c r="F153" t="s">
        <v>247</v>
      </c>
      <c r="G153" t="s">
        <v>253</v>
      </c>
      <c r="H153">
        <v>6.5</v>
      </c>
      <c r="I153">
        <v>2</v>
      </c>
      <c r="J153">
        <v>0</v>
      </c>
      <c r="K153">
        <v>13</v>
      </c>
      <c r="L153">
        <v>10.66</v>
      </c>
      <c r="M153">
        <v>2.34</v>
      </c>
      <c r="N153" t="s">
        <v>255</v>
      </c>
    </row>
    <row r="154" spans="1:14" x14ac:dyDescent="0.35">
      <c r="A154" t="s">
        <v>166</v>
      </c>
      <c r="B154" s="3">
        <v>46241</v>
      </c>
      <c r="C154" t="s">
        <v>196</v>
      </c>
      <c r="D154" t="s">
        <v>206</v>
      </c>
      <c r="E154" t="s">
        <v>231</v>
      </c>
      <c r="F154" t="s">
        <v>241</v>
      </c>
      <c r="G154" t="s">
        <v>250</v>
      </c>
      <c r="H154">
        <v>2.8</v>
      </c>
      <c r="I154">
        <v>2</v>
      </c>
      <c r="J154">
        <v>0</v>
      </c>
      <c r="K154">
        <v>5.6</v>
      </c>
      <c r="L154">
        <v>4.4800000000000004</v>
      </c>
      <c r="M154">
        <v>1.1200000000000001</v>
      </c>
      <c r="N154" t="s">
        <v>254</v>
      </c>
    </row>
    <row r="155" spans="1:14" x14ac:dyDescent="0.35">
      <c r="A155" t="s">
        <v>167</v>
      </c>
      <c r="B155" s="3">
        <v>46072</v>
      </c>
      <c r="C155" t="s">
        <v>197</v>
      </c>
      <c r="D155" t="s">
        <v>213</v>
      </c>
      <c r="E155" t="s">
        <v>237</v>
      </c>
      <c r="F155" t="s">
        <v>247</v>
      </c>
      <c r="G155" t="s">
        <v>253</v>
      </c>
      <c r="H155">
        <v>6.5</v>
      </c>
      <c r="I155">
        <v>7</v>
      </c>
      <c r="J155">
        <v>0.05</v>
      </c>
      <c r="K155">
        <v>43.23</v>
      </c>
      <c r="L155">
        <v>37.31</v>
      </c>
      <c r="M155">
        <v>5.92</v>
      </c>
      <c r="N155" t="s">
        <v>254</v>
      </c>
    </row>
    <row r="156" spans="1:14" x14ac:dyDescent="0.35">
      <c r="A156" t="s">
        <v>168</v>
      </c>
      <c r="B156" s="3">
        <v>46236</v>
      </c>
      <c r="C156" t="s">
        <v>195</v>
      </c>
      <c r="D156" t="s">
        <v>208</v>
      </c>
      <c r="E156" t="s">
        <v>231</v>
      </c>
      <c r="F156" t="s">
        <v>241</v>
      </c>
      <c r="G156" t="s">
        <v>250</v>
      </c>
      <c r="H156">
        <v>2.8</v>
      </c>
      <c r="I156">
        <v>8</v>
      </c>
      <c r="J156">
        <v>0.1</v>
      </c>
      <c r="K156">
        <v>20.16</v>
      </c>
      <c r="L156">
        <v>17.920000000000002</v>
      </c>
      <c r="M156">
        <v>2.2400000000000002</v>
      </c>
      <c r="N156" t="s">
        <v>254</v>
      </c>
    </row>
    <row r="157" spans="1:14" x14ac:dyDescent="0.35">
      <c r="A157" t="s">
        <v>169</v>
      </c>
      <c r="B157" s="3">
        <v>46173</v>
      </c>
      <c r="C157" t="s">
        <v>196</v>
      </c>
      <c r="D157" t="s">
        <v>224</v>
      </c>
      <c r="E157" t="s">
        <v>236</v>
      </c>
      <c r="F157" t="s">
        <v>246</v>
      </c>
      <c r="G157" t="s">
        <v>248</v>
      </c>
      <c r="H157">
        <v>3.2</v>
      </c>
      <c r="I157">
        <v>5</v>
      </c>
      <c r="J157">
        <v>0.1</v>
      </c>
      <c r="K157">
        <v>14.4</v>
      </c>
      <c r="L157">
        <v>12.16</v>
      </c>
      <c r="M157">
        <v>2.2400000000000002</v>
      </c>
      <c r="N157" t="s">
        <v>255</v>
      </c>
    </row>
    <row r="158" spans="1:14" x14ac:dyDescent="0.35">
      <c r="A158" t="s">
        <v>170</v>
      </c>
      <c r="B158" s="3">
        <v>46124</v>
      </c>
      <c r="C158" t="s">
        <v>195</v>
      </c>
      <c r="D158" t="s">
        <v>225</v>
      </c>
      <c r="E158" t="s">
        <v>236</v>
      </c>
      <c r="F158" t="s">
        <v>246</v>
      </c>
      <c r="G158" t="s">
        <v>248</v>
      </c>
      <c r="H158">
        <v>3.2</v>
      </c>
      <c r="I158">
        <v>8</v>
      </c>
      <c r="J158">
        <v>0</v>
      </c>
      <c r="K158">
        <v>25.6</v>
      </c>
      <c r="L158">
        <v>19.46</v>
      </c>
      <c r="M158">
        <v>6.14</v>
      </c>
      <c r="N158" t="s">
        <v>254</v>
      </c>
    </row>
    <row r="159" spans="1:14" x14ac:dyDescent="0.35">
      <c r="A159" t="s">
        <v>171</v>
      </c>
      <c r="B159" s="3">
        <v>46167</v>
      </c>
      <c r="C159" t="s">
        <v>196</v>
      </c>
      <c r="D159" t="s">
        <v>211</v>
      </c>
      <c r="E159" t="s">
        <v>231</v>
      </c>
      <c r="F159" t="s">
        <v>241</v>
      </c>
      <c r="G159" t="s">
        <v>250</v>
      </c>
      <c r="H159">
        <v>2.8</v>
      </c>
      <c r="I159">
        <v>10</v>
      </c>
      <c r="J159">
        <v>0</v>
      </c>
      <c r="K159">
        <v>28</v>
      </c>
      <c r="L159">
        <v>22.4</v>
      </c>
      <c r="M159">
        <v>5.6</v>
      </c>
      <c r="N159" t="s">
        <v>255</v>
      </c>
    </row>
    <row r="160" spans="1:14" x14ac:dyDescent="0.35">
      <c r="A160" t="s">
        <v>172</v>
      </c>
      <c r="B160" s="3">
        <v>46148</v>
      </c>
      <c r="C160" t="s">
        <v>195</v>
      </c>
      <c r="D160" t="s">
        <v>212</v>
      </c>
      <c r="E160" t="s">
        <v>236</v>
      </c>
      <c r="F160" t="s">
        <v>246</v>
      </c>
      <c r="G160" t="s">
        <v>248</v>
      </c>
      <c r="H160">
        <v>3.2</v>
      </c>
      <c r="I160">
        <v>9</v>
      </c>
      <c r="J160">
        <v>0.1</v>
      </c>
      <c r="K160">
        <v>25.92</v>
      </c>
      <c r="L160">
        <v>21.89</v>
      </c>
      <c r="M160">
        <v>4.03</v>
      </c>
      <c r="N160" t="s">
        <v>254</v>
      </c>
    </row>
    <row r="161" spans="1:14" x14ac:dyDescent="0.35">
      <c r="A161" t="s">
        <v>173</v>
      </c>
      <c r="B161" s="3">
        <v>46041</v>
      </c>
      <c r="C161" t="s">
        <v>197</v>
      </c>
      <c r="D161" t="s">
        <v>218</v>
      </c>
      <c r="E161" t="s">
        <v>235</v>
      </c>
      <c r="F161" t="s">
        <v>245</v>
      </c>
      <c r="G161" t="s">
        <v>249</v>
      </c>
      <c r="H161">
        <v>1.4</v>
      </c>
      <c r="I161">
        <v>2</v>
      </c>
      <c r="J161">
        <v>0</v>
      </c>
      <c r="K161">
        <v>2.8</v>
      </c>
      <c r="L161">
        <v>1.9</v>
      </c>
      <c r="M161">
        <v>0.9</v>
      </c>
      <c r="N161" t="s">
        <v>254</v>
      </c>
    </row>
    <row r="162" spans="1:14" x14ac:dyDescent="0.35">
      <c r="A162" t="s">
        <v>174</v>
      </c>
      <c r="B162" s="3">
        <v>46214</v>
      </c>
      <c r="C162" t="s">
        <v>195</v>
      </c>
      <c r="D162" t="s">
        <v>203</v>
      </c>
      <c r="E162" t="s">
        <v>235</v>
      </c>
      <c r="F162" t="s">
        <v>245</v>
      </c>
      <c r="G162" t="s">
        <v>249</v>
      </c>
      <c r="H162">
        <v>1.4</v>
      </c>
      <c r="I162">
        <v>1</v>
      </c>
      <c r="J162">
        <v>0</v>
      </c>
      <c r="K162">
        <v>1.4</v>
      </c>
      <c r="L162">
        <v>0.95</v>
      </c>
      <c r="M162">
        <v>0.45</v>
      </c>
      <c r="N162" t="s">
        <v>254</v>
      </c>
    </row>
    <row r="163" spans="1:14" x14ac:dyDescent="0.35">
      <c r="A163" t="s">
        <v>175</v>
      </c>
      <c r="B163" s="3">
        <v>46330</v>
      </c>
      <c r="C163" t="s">
        <v>194</v>
      </c>
      <c r="D163" t="s">
        <v>224</v>
      </c>
      <c r="E163" t="s">
        <v>237</v>
      </c>
      <c r="F163" t="s">
        <v>247</v>
      </c>
      <c r="G163" t="s">
        <v>253</v>
      </c>
      <c r="H163">
        <v>6.5</v>
      </c>
      <c r="I163">
        <v>10</v>
      </c>
      <c r="J163">
        <v>0</v>
      </c>
      <c r="K163">
        <v>65</v>
      </c>
      <c r="L163">
        <v>53.3</v>
      </c>
      <c r="M163">
        <v>11.7</v>
      </c>
      <c r="N163" t="s">
        <v>254</v>
      </c>
    </row>
    <row r="164" spans="1:14" x14ac:dyDescent="0.35">
      <c r="A164" t="s">
        <v>176</v>
      </c>
      <c r="B164" s="3">
        <v>46331</v>
      </c>
      <c r="C164" t="s">
        <v>194</v>
      </c>
      <c r="D164" t="s">
        <v>212</v>
      </c>
      <c r="E164" t="s">
        <v>235</v>
      </c>
      <c r="F164" t="s">
        <v>245</v>
      </c>
      <c r="G164" t="s">
        <v>249</v>
      </c>
      <c r="H164">
        <v>1.4</v>
      </c>
      <c r="I164">
        <v>5</v>
      </c>
      <c r="J164">
        <v>0</v>
      </c>
      <c r="K164">
        <v>7</v>
      </c>
      <c r="L164">
        <v>4.76</v>
      </c>
      <c r="M164">
        <v>2.2400000000000002</v>
      </c>
      <c r="N164" t="s">
        <v>255</v>
      </c>
    </row>
    <row r="165" spans="1:14" x14ac:dyDescent="0.35">
      <c r="A165" t="s">
        <v>177</v>
      </c>
      <c r="B165" s="3">
        <v>46042</v>
      </c>
      <c r="C165" t="s">
        <v>195</v>
      </c>
      <c r="D165" t="s">
        <v>199</v>
      </c>
      <c r="E165" t="s">
        <v>237</v>
      </c>
      <c r="F165" t="s">
        <v>247</v>
      </c>
      <c r="G165" t="s">
        <v>253</v>
      </c>
      <c r="H165">
        <v>6.5</v>
      </c>
      <c r="I165">
        <v>6</v>
      </c>
      <c r="J165">
        <v>0</v>
      </c>
      <c r="K165">
        <v>39</v>
      </c>
      <c r="L165">
        <v>31.98</v>
      </c>
      <c r="M165">
        <v>7.02</v>
      </c>
      <c r="N165" t="s">
        <v>254</v>
      </c>
    </row>
    <row r="166" spans="1:14" x14ac:dyDescent="0.35">
      <c r="A166" t="s">
        <v>178</v>
      </c>
      <c r="B166" s="3">
        <v>46042</v>
      </c>
      <c r="C166" t="s">
        <v>194</v>
      </c>
      <c r="D166" t="s">
        <v>198</v>
      </c>
      <c r="E166" t="s">
        <v>236</v>
      </c>
      <c r="F166" t="s">
        <v>246</v>
      </c>
      <c r="G166" t="s">
        <v>248</v>
      </c>
      <c r="H166">
        <v>3.2</v>
      </c>
      <c r="I166">
        <v>10</v>
      </c>
      <c r="J166">
        <v>0</v>
      </c>
      <c r="K166">
        <v>32</v>
      </c>
      <c r="L166">
        <v>24.32</v>
      </c>
      <c r="M166">
        <v>7.68</v>
      </c>
      <c r="N166" t="s">
        <v>255</v>
      </c>
    </row>
    <row r="167" spans="1:14" x14ac:dyDescent="0.35">
      <c r="A167" t="s">
        <v>179</v>
      </c>
      <c r="B167" s="3">
        <v>46370</v>
      </c>
      <c r="C167" t="s">
        <v>196</v>
      </c>
      <c r="D167" t="s">
        <v>211</v>
      </c>
      <c r="E167" t="s">
        <v>229</v>
      </c>
      <c r="F167" t="s">
        <v>239</v>
      </c>
      <c r="G167" t="s">
        <v>249</v>
      </c>
      <c r="H167">
        <v>2.5</v>
      </c>
      <c r="I167">
        <v>6</v>
      </c>
      <c r="J167">
        <v>0</v>
      </c>
      <c r="K167">
        <v>15</v>
      </c>
      <c r="L167">
        <v>10.5</v>
      </c>
      <c r="M167">
        <v>4.5</v>
      </c>
      <c r="N167" t="s">
        <v>254</v>
      </c>
    </row>
    <row r="168" spans="1:14" x14ac:dyDescent="0.35">
      <c r="A168" t="s">
        <v>180</v>
      </c>
      <c r="B168" s="3">
        <v>46276</v>
      </c>
      <c r="C168" t="s">
        <v>194</v>
      </c>
      <c r="D168" t="s">
        <v>220</v>
      </c>
      <c r="E168" t="s">
        <v>230</v>
      </c>
      <c r="F168" t="s">
        <v>240</v>
      </c>
      <c r="G168" t="s">
        <v>250</v>
      </c>
      <c r="H168">
        <v>1.5</v>
      </c>
      <c r="I168">
        <v>9</v>
      </c>
      <c r="J168">
        <v>0.05</v>
      </c>
      <c r="K168">
        <v>12.82</v>
      </c>
      <c r="L168">
        <v>10.53</v>
      </c>
      <c r="M168">
        <v>2.29</v>
      </c>
      <c r="N168" t="s">
        <v>254</v>
      </c>
    </row>
    <row r="169" spans="1:14" x14ac:dyDescent="0.35">
      <c r="A169" t="s">
        <v>181</v>
      </c>
      <c r="B169" s="3">
        <v>46362</v>
      </c>
      <c r="C169" t="s">
        <v>194</v>
      </c>
      <c r="D169" t="s">
        <v>212</v>
      </c>
      <c r="E169" t="s">
        <v>229</v>
      </c>
      <c r="F169" t="s">
        <v>239</v>
      </c>
      <c r="G169" t="s">
        <v>249</v>
      </c>
      <c r="H169">
        <v>2.5</v>
      </c>
      <c r="I169">
        <v>9</v>
      </c>
      <c r="J169">
        <v>0</v>
      </c>
      <c r="K169">
        <v>22.5</v>
      </c>
      <c r="L169">
        <v>15.75</v>
      </c>
      <c r="M169">
        <v>6.75</v>
      </c>
      <c r="N169" t="s">
        <v>254</v>
      </c>
    </row>
    <row r="170" spans="1:14" x14ac:dyDescent="0.35">
      <c r="A170" t="s">
        <v>182</v>
      </c>
      <c r="B170" s="3">
        <v>46379</v>
      </c>
      <c r="C170" t="s">
        <v>196</v>
      </c>
      <c r="D170" t="s">
        <v>204</v>
      </c>
      <c r="E170" t="s">
        <v>229</v>
      </c>
      <c r="F170" t="s">
        <v>239</v>
      </c>
      <c r="G170" t="s">
        <v>249</v>
      </c>
      <c r="H170">
        <v>2.5</v>
      </c>
      <c r="I170">
        <v>5</v>
      </c>
      <c r="J170">
        <v>0.05</v>
      </c>
      <c r="K170">
        <v>11.88</v>
      </c>
      <c r="L170">
        <v>8.75</v>
      </c>
      <c r="M170">
        <v>3.13</v>
      </c>
      <c r="N170" t="s">
        <v>255</v>
      </c>
    </row>
    <row r="171" spans="1:14" x14ac:dyDescent="0.35">
      <c r="A171" t="s">
        <v>183</v>
      </c>
      <c r="B171" s="3">
        <v>46049</v>
      </c>
      <c r="C171" t="s">
        <v>196</v>
      </c>
      <c r="D171" t="s">
        <v>220</v>
      </c>
      <c r="E171" t="s">
        <v>229</v>
      </c>
      <c r="F171" t="s">
        <v>239</v>
      </c>
      <c r="G171" t="s">
        <v>249</v>
      </c>
      <c r="H171">
        <v>2.5</v>
      </c>
      <c r="I171">
        <v>5</v>
      </c>
      <c r="J171">
        <v>0.1</v>
      </c>
      <c r="K171">
        <v>11.25</v>
      </c>
      <c r="L171">
        <v>8.75</v>
      </c>
      <c r="M171">
        <v>2.5</v>
      </c>
      <c r="N171" t="s">
        <v>255</v>
      </c>
    </row>
    <row r="172" spans="1:14" x14ac:dyDescent="0.35">
      <c r="A172" t="s">
        <v>184</v>
      </c>
      <c r="B172" s="3">
        <v>46209</v>
      </c>
      <c r="C172" t="s">
        <v>197</v>
      </c>
      <c r="D172" t="s">
        <v>208</v>
      </c>
      <c r="E172" t="s">
        <v>230</v>
      </c>
      <c r="F172" t="s">
        <v>240</v>
      </c>
      <c r="G172" t="s">
        <v>250</v>
      </c>
      <c r="H172">
        <v>1.5</v>
      </c>
      <c r="I172">
        <v>11</v>
      </c>
      <c r="J172">
        <v>0</v>
      </c>
      <c r="K172">
        <v>16.5</v>
      </c>
      <c r="L172">
        <v>12.87</v>
      </c>
      <c r="M172">
        <v>3.63</v>
      </c>
      <c r="N172" t="s">
        <v>255</v>
      </c>
    </row>
    <row r="173" spans="1:14" x14ac:dyDescent="0.35">
      <c r="A173" t="s">
        <v>185</v>
      </c>
      <c r="B173" s="3">
        <v>46026</v>
      </c>
      <c r="C173" t="s">
        <v>197</v>
      </c>
      <c r="D173" t="s">
        <v>203</v>
      </c>
      <c r="E173" t="s">
        <v>237</v>
      </c>
      <c r="F173" t="s">
        <v>247</v>
      </c>
      <c r="G173" t="s">
        <v>253</v>
      </c>
      <c r="H173">
        <v>6.5</v>
      </c>
      <c r="I173">
        <v>7</v>
      </c>
      <c r="J173">
        <v>0</v>
      </c>
      <c r="K173">
        <v>45.5</v>
      </c>
      <c r="L173">
        <v>37.31</v>
      </c>
      <c r="M173">
        <v>8.19</v>
      </c>
      <c r="N173" t="s">
        <v>254</v>
      </c>
    </row>
    <row r="174" spans="1:14" x14ac:dyDescent="0.35">
      <c r="A174" t="s">
        <v>186</v>
      </c>
      <c r="B174" s="3">
        <v>46318</v>
      </c>
      <c r="C174" t="s">
        <v>195</v>
      </c>
      <c r="D174" t="s">
        <v>219</v>
      </c>
      <c r="E174" t="s">
        <v>229</v>
      </c>
      <c r="F174" t="s">
        <v>239</v>
      </c>
      <c r="G174" t="s">
        <v>249</v>
      </c>
      <c r="H174">
        <v>2.5</v>
      </c>
      <c r="I174">
        <v>6</v>
      </c>
      <c r="J174">
        <v>0.05</v>
      </c>
      <c r="K174">
        <v>14.25</v>
      </c>
      <c r="L174">
        <v>10.5</v>
      </c>
      <c r="M174">
        <v>3.75</v>
      </c>
      <c r="N174" t="s">
        <v>254</v>
      </c>
    </row>
    <row r="175" spans="1:14" x14ac:dyDescent="0.35">
      <c r="A175" t="s">
        <v>187</v>
      </c>
      <c r="B175" s="3">
        <v>46305</v>
      </c>
      <c r="C175" t="s">
        <v>194</v>
      </c>
      <c r="D175" t="s">
        <v>201</v>
      </c>
      <c r="E175" t="s">
        <v>230</v>
      </c>
      <c r="F175" t="s">
        <v>240</v>
      </c>
      <c r="G175" t="s">
        <v>250</v>
      </c>
      <c r="H175">
        <v>1.5</v>
      </c>
      <c r="I175">
        <v>3</v>
      </c>
      <c r="J175">
        <v>0.05</v>
      </c>
      <c r="K175">
        <v>4.2699999999999996</v>
      </c>
      <c r="L175">
        <v>3.51</v>
      </c>
      <c r="M175">
        <v>0.76</v>
      </c>
      <c r="N175" t="s">
        <v>255</v>
      </c>
    </row>
    <row r="176" spans="1:14" x14ac:dyDescent="0.35">
      <c r="A176" t="s">
        <v>188</v>
      </c>
      <c r="B176" s="3">
        <v>46110</v>
      </c>
      <c r="C176" t="s">
        <v>196</v>
      </c>
      <c r="D176" t="s">
        <v>213</v>
      </c>
      <c r="E176" t="s">
        <v>234</v>
      </c>
      <c r="F176" t="s">
        <v>244</v>
      </c>
      <c r="G176" t="s">
        <v>252</v>
      </c>
      <c r="H176">
        <v>5.5</v>
      </c>
      <c r="I176">
        <v>3</v>
      </c>
      <c r="J176">
        <v>0</v>
      </c>
      <c r="K176">
        <v>16.5</v>
      </c>
      <c r="L176">
        <v>12.04</v>
      </c>
      <c r="M176">
        <v>4.46</v>
      </c>
      <c r="N176" t="s">
        <v>254</v>
      </c>
    </row>
    <row r="177" spans="1:14" x14ac:dyDescent="0.35">
      <c r="A177" t="s">
        <v>189</v>
      </c>
      <c r="B177" s="3">
        <v>46078</v>
      </c>
      <c r="C177" t="s">
        <v>195</v>
      </c>
      <c r="D177" t="s">
        <v>202</v>
      </c>
      <c r="E177" t="s">
        <v>232</v>
      </c>
      <c r="F177" t="s">
        <v>242</v>
      </c>
      <c r="G177" t="s">
        <v>251</v>
      </c>
      <c r="H177">
        <v>1.2</v>
      </c>
      <c r="I177">
        <v>7</v>
      </c>
      <c r="J177">
        <v>0.05</v>
      </c>
      <c r="K177">
        <v>7.98</v>
      </c>
      <c r="L177">
        <v>6.3</v>
      </c>
      <c r="M177">
        <v>1.68</v>
      </c>
      <c r="N177" t="s">
        <v>254</v>
      </c>
    </row>
    <row r="178" spans="1:14" x14ac:dyDescent="0.35">
      <c r="A178" t="s">
        <v>190</v>
      </c>
      <c r="B178" s="3">
        <v>46270</v>
      </c>
      <c r="C178" t="s">
        <v>197</v>
      </c>
      <c r="D178" t="s">
        <v>211</v>
      </c>
      <c r="E178" t="s">
        <v>230</v>
      </c>
      <c r="F178" t="s">
        <v>240</v>
      </c>
      <c r="G178" t="s">
        <v>250</v>
      </c>
      <c r="H178">
        <v>1.5</v>
      </c>
      <c r="I178">
        <v>6</v>
      </c>
      <c r="J178">
        <v>0</v>
      </c>
      <c r="K178">
        <v>9</v>
      </c>
      <c r="L178">
        <v>7.02</v>
      </c>
      <c r="M178">
        <v>1.98</v>
      </c>
      <c r="N178" t="s">
        <v>254</v>
      </c>
    </row>
    <row r="179" spans="1:14" x14ac:dyDescent="0.35">
      <c r="A179" t="s">
        <v>191</v>
      </c>
      <c r="B179" s="3">
        <v>46340</v>
      </c>
      <c r="C179" t="s">
        <v>195</v>
      </c>
      <c r="D179" t="s">
        <v>198</v>
      </c>
      <c r="E179" t="s">
        <v>237</v>
      </c>
      <c r="F179" t="s">
        <v>247</v>
      </c>
      <c r="G179" t="s">
        <v>253</v>
      </c>
      <c r="H179">
        <v>6.5</v>
      </c>
      <c r="I179">
        <v>7</v>
      </c>
      <c r="J179">
        <v>0.1</v>
      </c>
      <c r="K179">
        <v>40.950000000000003</v>
      </c>
      <c r="L179">
        <v>37.31</v>
      </c>
      <c r="M179">
        <v>3.64</v>
      </c>
      <c r="N179" t="s">
        <v>255</v>
      </c>
    </row>
    <row r="180" spans="1:14" x14ac:dyDescent="0.35">
      <c r="A180" t="s">
        <v>192</v>
      </c>
      <c r="B180" s="3">
        <v>46312</v>
      </c>
      <c r="C180" t="s">
        <v>197</v>
      </c>
      <c r="D180" t="s">
        <v>205</v>
      </c>
      <c r="E180" t="s">
        <v>231</v>
      </c>
      <c r="F180" t="s">
        <v>241</v>
      </c>
      <c r="G180" t="s">
        <v>250</v>
      </c>
      <c r="H180">
        <v>2.8</v>
      </c>
      <c r="I180">
        <v>4</v>
      </c>
      <c r="J180">
        <v>0</v>
      </c>
      <c r="K180">
        <v>11.2</v>
      </c>
      <c r="L180">
        <v>8.9600000000000009</v>
      </c>
      <c r="M180">
        <v>2.2400000000000002</v>
      </c>
      <c r="N180" t="s">
        <v>254</v>
      </c>
    </row>
    <row r="181" spans="1:14" x14ac:dyDescent="0.35">
      <c r="A181" t="s">
        <v>193</v>
      </c>
      <c r="B181" s="3">
        <v>46206</v>
      </c>
      <c r="C181" t="s">
        <v>195</v>
      </c>
      <c r="D181" t="s">
        <v>208</v>
      </c>
      <c r="E181" t="s">
        <v>229</v>
      </c>
      <c r="F181" t="s">
        <v>239</v>
      </c>
      <c r="G181" t="s">
        <v>249</v>
      </c>
      <c r="H181">
        <v>2.5</v>
      </c>
      <c r="I181">
        <v>2</v>
      </c>
      <c r="J181">
        <v>0</v>
      </c>
      <c r="K181">
        <v>5</v>
      </c>
      <c r="L181">
        <v>3.5</v>
      </c>
      <c r="M181">
        <v>1.5</v>
      </c>
      <c r="N181" t="s">
        <v>254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E44BF-4949-475E-A8F8-B818D8133BC1}">
  <dimension ref="A1:U181"/>
  <sheetViews>
    <sheetView tabSelected="1" topLeftCell="C105" workbookViewId="0">
      <selection activeCell="R137" sqref="R137"/>
    </sheetView>
  </sheetViews>
  <sheetFormatPr defaultRowHeight="14.5" x14ac:dyDescent="0.35"/>
  <cols>
    <col min="1" max="1" width="10.54296875" customWidth="1"/>
    <col min="2" max="2" width="19.1796875" style="3" customWidth="1"/>
    <col min="3" max="3" width="18.26953125" customWidth="1"/>
    <col min="4" max="4" width="23.1796875" customWidth="1"/>
    <col min="5" max="5" width="12.26953125" customWidth="1"/>
    <col min="6" max="6" width="9.453125" customWidth="1"/>
    <col min="7" max="7" width="10.26953125" customWidth="1"/>
    <col min="8" max="8" width="11.453125" customWidth="1"/>
    <col min="9" max="10" width="10.1796875" customWidth="1"/>
    <col min="14" max="14" width="9.6328125" customWidth="1"/>
    <col min="18" max="18" width="14" customWidth="1"/>
  </cols>
  <sheetData>
    <row r="1" spans="1:21" ht="18.5" x14ac:dyDescent="0.35">
      <c r="A1" s="4" t="s">
        <v>0</v>
      </c>
      <c r="B1" s="4" t="s">
        <v>294</v>
      </c>
      <c r="C1" s="4" t="s">
        <v>280</v>
      </c>
      <c r="D1" s="5" t="s">
        <v>1</v>
      </c>
      <c r="E1" s="4" t="s">
        <v>2</v>
      </c>
      <c r="F1" s="4" t="s">
        <v>3</v>
      </c>
      <c r="G1" s="4" t="s">
        <v>4</v>
      </c>
      <c r="H1" s="4" t="s">
        <v>5</v>
      </c>
      <c r="I1" s="4" t="s">
        <v>6</v>
      </c>
      <c r="J1" s="4" t="s">
        <v>7</v>
      </c>
      <c r="K1" s="4" t="s">
        <v>8</v>
      </c>
      <c r="L1" s="4" t="s">
        <v>9</v>
      </c>
      <c r="M1" s="4" t="s">
        <v>10</v>
      </c>
      <c r="N1" s="4" t="s">
        <v>11</v>
      </c>
      <c r="O1" s="4" t="s">
        <v>12</v>
      </c>
      <c r="P1" s="4" t="s">
        <v>13</v>
      </c>
      <c r="R1" s="8" t="s">
        <v>261</v>
      </c>
    </row>
    <row r="2" spans="1:21" ht="18.5" x14ac:dyDescent="0.45">
      <c r="A2" s="6" t="s">
        <v>14</v>
      </c>
      <c r="B2" s="7">
        <f>DATE(YEAR(SalesData[[#This Row],[Date]]),MONTH(SalesData[[#This Row],[Date]]),1)</f>
        <v>46082</v>
      </c>
      <c r="C2" s="6" t="str">
        <f>TEXT(SalesData[[#This Row],[monthdate]],"mmmm")</f>
        <v>March</v>
      </c>
      <c r="D2" s="7">
        <v>46100</v>
      </c>
      <c r="E2" s="6" t="s">
        <v>194</v>
      </c>
      <c r="F2" s="6" t="s">
        <v>198</v>
      </c>
      <c r="G2" s="6" t="s">
        <v>228</v>
      </c>
      <c r="H2" s="6" t="s">
        <v>238</v>
      </c>
      <c r="I2" s="6" t="s">
        <v>248</v>
      </c>
      <c r="J2" s="6">
        <v>1.8</v>
      </c>
      <c r="K2" s="6">
        <v>7</v>
      </c>
      <c r="L2" s="6">
        <v>0</v>
      </c>
      <c r="M2" s="6">
        <v>12.6</v>
      </c>
      <c r="N2" s="6">
        <v>9.07</v>
      </c>
      <c r="O2" s="6">
        <v>3.53</v>
      </c>
      <c r="P2" s="6" t="s">
        <v>254</v>
      </c>
    </row>
    <row r="3" spans="1:21" ht="18.5" x14ac:dyDescent="0.45">
      <c r="A3" s="6" t="s">
        <v>15</v>
      </c>
      <c r="B3" s="7">
        <f>DATE(YEAR(SalesData[[#This Row],[Date]]),MONTH(SalesData[[#This Row],[Date]]),1)</f>
        <v>46296</v>
      </c>
      <c r="C3" s="6" t="str">
        <f>TEXT(SalesData[[#This Row],[monthdate]],"mmmm")</f>
        <v>October</v>
      </c>
      <c r="D3" s="7">
        <v>46321</v>
      </c>
      <c r="E3" s="6" t="s">
        <v>195</v>
      </c>
      <c r="F3" s="6" t="s">
        <v>199</v>
      </c>
      <c r="G3" s="6" t="s">
        <v>228</v>
      </c>
      <c r="H3" s="6" t="s">
        <v>238</v>
      </c>
      <c r="I3" s="6" t="s">
        <v>248</v>
      </c>
      <c r="J3" s="6">
        <v>1.8</v>
      </c>
      <c r="K3" s="6">
        <v>1</v>
      </c>
      <c r="L3" s="6">
        <v>0.1</v>
      </c>
      <c r="M3" s="6">
        <v>1.62</v>
      </c>
      <c r="N3" s="6">
        <v>1.3</v>
      </c>
      <c r="O3" s="6">
        <v>0.32</v>
      </c>
      <c r="P3" s="6" t="s">
        <v>254</v>
      </c>
      <c r="R3" s="9" t="s">
        <v>256</v>
      </c>
      <c r="U3">
        <f>SUM(SalesData[Sales])</f>
        <v>2863.9199999999992</v>
      </c>
    </row>
    <row r="4" spans="1:21" ht="18.5" x14ac:dyDescent="0.45">
      <c r="A4" s="6" t="s">
        <v>16</v>
      </c>
      <c r="B4" s="7">
        <f>DATE(YEAR(SalesData[[#This Row],[Date]]),MONTH(SalesData[[#This Row],[Date]]),1)</f>
        <v>46235</v>
      </c>
      <c r="C4" s="6" t="str">
        <f>TEXT(SalesData[[#This Row],[monthdate]],"mmmm")</f>
        <v>August</v>
      </c>
      <c r="D4" s="7">
        <v>46237</v>
      </c>
      <c r="E4" s="6" t="s">
        <v>194</v>
      </c>
      <c r="F4" s="6" t="s">
        <v>200</v>
      </c>
      <c r="G4" s="6" t="s">
        <v>229</v>
      </c>
      <c r="H4" s="6" t="s">
        <v>239</v>
      </c>
      <c r="I4" s="6" t="s">
        <v>249</v>
      </c>
      <c r="J4" s="6">
        <v>2.5</v>
      </c>
      <c r="K4" s="6">
        <v>2</v>
      </c>
      <c r="L4" s="6">
        <v>0</v>
      </c>
      <c r="M4" s="6">
        <v>5</v>
      </c>
      <c r="N4" s="6">
        <v>3.5</v>
      </c>
      <c r="O4" s="6">
        <v>1.5</v>
      </c>
      <c r="P4" s="6" t="s">
        <v>255</v>
      </c>
    </row>
    <row r="5" spans="1:21" ht="18.5" x14ac:dyDescent="0.45">
      <c r="A5" s="6" t="s">
        <v>17</v>
      </c>
      <c r="B5" s="7">
        <f>DATE(YEAR(SalesData[[#This Row],[Date]]),MONTH(SalesData[[#This Row],[Date]]),1)</f>
        <v>46296</v>
      </c>
      <c r="C5" s="6" t="str">
        <f>TEXT(SalesData[[#This Row],[monthdate]],"mmmm")</f>
        <v>October</v>
      </c>
      <c r="D5" s="7">
        <v>46312</v>
      </c>
      <c r="E5" s="6" t="s">
        <v>194</v>
      </c>
      <c r="F5" s="6" t="s">
        <v>201</v>
      </c>
      <c r="G5" s="6" t="s">
        <v>230</v>
      </c>
      <c r="H5" s="6" t="s">
        <v>240</v>
      </c>
      <c r="I5" s="6" t="s">
        <v>250</v>
      </c>
      <c r="J5" s="6">
        <v>1.5</v>
      </c>
      <c r="K5" s="6">
        <v>2</v>
      </c>
      <c r="L5" s="6">
        <v>0</v>
      </c>
      <c r="M5" s="6">
        <v>3</v>
      </c>
      <c r="N5" s="6">
        <v>2.34</v>
      </c>
      <c r="O5" s="6">
        <v>0.66</v>
      </c>
      <c r="P5" s="6" t="s">
        <v>255</v>
      </c>
      <c r="R5" s="9" t="s">
        <v>257</v>
      </c>
      <c r="U5">
        <f>SUM(SalesData[Profit])</f>
        <v>638.53</v>
      </c>
    </row>
    <row r="6" spans="1:21" ht="18.5" x14ac:dyDescent="0.45">
      <c r="A6" s="6" t="s">
        <v>18</v>
      </c>
      <c r="B6" s="7">
        <f>DATE(YEAR(SalesData[[#This Row],[Date]]),MONTH(SalesData[[#This Row],[Date]]),1)</f>
        <v>46113</v>
      </c>
      <c r="C6" s="6" t="str">
        <f>TEXT(SalesData[[#This Row],[monthdate]],"mmmm")</f>
        <v>April</v>
      </c>
      <c r="D6" s="7">
        <v>46136</v>
      </c>
      <c r="E6" s="6" t="s">
        <v>195</v>
      </c>
      <c r="F6" s="6" t="s">
        <v>202</v>
      </c>
      <c r="G6" s="6" t="s">
        <v>230</v>
      </c>
      <c r="H6" s="6" t="s">
        <v>240</v>
      </c>
      <c r="I6" s="6" t="s">
        <v>250</v>
      </c>
      <c r="J6" s="6">
        <v>1.5</v>
      </c>
      <c r="K6" s="6">
        <v>1</v>
      </c>
      <c r="L6" s="6">
        <v>0.1</v>
      </c>
      <c r="M6" s="6">
        <v>1.35</v>
      </c>
      <c r="N6" s="6">
        <v>1.17</v>
      </c>
      <c r="O6" s="6">
        <v>0.18</v>
      </c>
      <c r="P6" s="6" t="s">
        <v>255</v>
      </c>
    </row>
    <row r="7" spans="1:21" ht="18.5" x14ac:dyDescent="0.45">
      <c r="A7" s="6" t="s">
        <v>19</v>
      </c>
      <c r="B7" s="7">
        <f>DATE(YEAR(SalesData[[#This Row],[Date]]),MONTH(SalesData[[#This Row],[Date]]),1)</f>
        <v>46296</v>
      </c>
      <c r="C7" s="6" t="str">
        <f>TEXT(SalesData[[#This Row],[monthdate]],"mmmm")</f>
        <v>October</v>
      </c>
      <c r="D7" s="7">
        <v>46299</v>
      </c>
      <c r="E7" s="6" t="s">
        <v>196</v>
      </c>
      <c r="F7" s="6" t="s">
        <v>200</v>
      </c>
      <c r="G7" s="6" t="s">
        <v>231</v>
      </c>
      <c r="H7" s="6" t="s">
        <v>241</v>
      </c>
      <c r="I7" s="6" t="s">
        <v>250</v>
      </c>
      <c r="J7" s="6">
        <v>2.8</v>
      </c>
      <c r="K7" s="6">
        <v>2</v>
      </c>
      <c r="L7" s="6">
        <v>0.1</v>
      </c>
      <c r="M7" s="6">
        <v>5.04</v>
      </c>
      <c r="N7" s="6">
        <v>4.4800000000000004</v>
      </c>
      <c r="O7" s="6">
        <v>0.56000000000000005</v>
      </c>
      <c r="P7" s="6" t="s">
        <v>254</v>
      </c>
      <c r="R7" s="9" t="s">
        <v>258</v>
      </c>
      <c r="U7">
        <f>COUNTA(SalesData[Order_ID])</f>
        <v>180</v>
      </c>
    </row>
    <row r="8" spans="1:21" ht="18.5" x14ac:dyDescent="0.45">
      <c r="A8" s="6" t="s">
        <v>20</v>
      </c>
      <c r="B8" s="7">
        <f>DATE(YEAR(SalesData[[#This Row],[Date]]),MONTH(SalesData[[#This Row],[Date]]),1)</f>
        <v>46296</v>
      </c>
      <c r="C8" s="6" t="str">
        <f>TEXT(SalesData[[#This Row],[monthdate]],"mmmm")</f>
        <v>October</v>
      </c>
      <c r="D8" s="7">
        <v>46320</v>
      </c>
      <c r="E8" s="6" t="s">
        <v>196</v>
      </c>
      <c r="F8" s="6" t="s">
        <v>203</v>
      </c>
      <c r="G8" s="6" t="s">
        <v>232</v>
      </c>
      <c r="H8" s="6" t="s">
        <v>242</v>
      </c>
      <c r="I8" s="6" t="s">
        <v>251</v>
      </c>
      <c r="J8" s="6">
        <v>1.2</v>
      </c>
      <c r="K8" s="6">
        <v>10</v>
      </c>
      <c r="L8" s="6">
        <v>0</v>
      </c>
      <c r="M8" s="6">
        <v>12</v>
      </c>
      <c r="N8" s="6">
        <v>9</v>
      </c>
      <c r="O8" s="6">
        <v>3</v>
      </c>
      <c r="P8" s="6" t="s">
        <v>254</v>
      </c>
    </row>
    <row r="9" spans="1:21" ht="18.5" x14ac:dyDescent="0.45">
      <c r="A9" s="6" t="s">
        <v>21</v>
      </c>
      <c r="B9" s="7">
        <f>DATE(YEAR(SalesData[[#This Row],[Date]]),MONTH(SalesData[[#This Row],[Date]]),1)</f>
        <v>46023</v>
      </c>
      <c r="C9" s="6" t="str">
        <f>TEXT(SalesData[[#This Row],[monthdate]],"mmmm")</f>
        <v>January</v>
      </c>
      <c r="D9" s="7">
        <v>46053</v>
      </c>
      <c r="E9" s="6" t="s">
        <v>197</v>
      </c>
      <c r="F9" s="6" t="s">
        <v>204</v>
      </c>
      <c r="G9" s="6" t="s">
        <v>233</v>
      </c>
      <c r="H9" s="6" t="s">
        <v>243</v>
      </c>
      <c r="I9" s="6" t="s">
        <v>252</v>
      </c>
      <c r="J9" s="6">
        <v>3.8</v>
      </c>
      <c r="K9" s="6">
        <v>10</v>
      </c>
      <c r="L9" s="6">
        <v>0</v>
      </c>
      <c r="M9" s="6">
        <v>38</v>
      </c>
      <c r="N9" s="6">
        <v>26.98</v>
      </c>
      <c r="O9" s="6">
        <v>11.02</v>
      </c>
      <c r="P9" s="6" t="s">
        <v>255</v>
      </c>
      <c r="R9" s="9" t="s">
        <v>259</v>
      </c>
      <c r="U9">
        <f>SUM(SalesData[Quantity])</f>
        <v>1034</v>
      </c>
    </row>
    <row r="10" spans="1:21" ht="18.5" x14ac:dyDescent="0.45">
      <c r="A10" s="6" t="s">
        <v>22</v>
      </c>
      <c r="B10" s="7">
        <f>DATE(YEAR(SalesData[[#This Row],[Date]]),MONTH(SalesData[[#This Row],[Date]]),1)</f>
        <v>46235</v>
      </c>
      <c r="C10" s="6" t="str">
        <f>TEXT(SalesData[[#This Row],[monthdate]],"mmmm")</f>
        <v>August</v>
      </c>
      <c r="D10" s="7">
        <v>46261</v>
      </c>
      <c r="E10" s="6" t="s">
        <v>196</v>
      </c>
      <c r="F10" s="6" t="s">
        <v>202</v>
      </c>
      <c r="G10" s="6" t="s">
        <v>228</v>
      </c>
      <c r="H10" s="6" t="s">
        <v>238</v>
      </c>
      <c r="I10" s="6" t="s">
        <v>248</v>
      </c>
      <c r="J10" s="6">
        <v>1.8</v>
      </c>
      <c r="K10" s="6">
        <v>10</v>
      </c>
      <c r="L10" s="6">
        <v>0.05</v>
      </c>
      <c r="M10" s="6">
        <v>17.100000000000001</v>
      </c>
      <c r="N10" s="6">
        <v>12.96</v>
      </c>
      <c r="O10" s="6">
        <v>4.1399999999999997</v>
      </c>
      <c r="P10" s="6" t="s">
        <v>254</v>
      </c>
    </row>
    <row r="11" spans="1:21" ht="18.5" x14ac:dyDescent="0.45">
      <c r="A11" s="6" t="s">
        <v>23</v>
      </c>
      <c r="B11" s="7">
        <f>DATE(YEAR(SalesData[[#This Row],[Date]]),MONTH(SalesData[[#This Row],[Date]]),1)</f>
        <v>46357</v>
      </c>
      <c r="C11" s="6" t="str">
        <f>TEXT(SalesData[[#This Row],[monthdate]],"mmmm")</f>
        <v>December</v>
      </c>
      <c r="D11" s="7">
        <v>46380</v>
      </c>
      <c r="E11" s="6" t="s">
        <v>196</v>
      </c>
      <c r="F11" s="6" t="s">
        <v>205</v>
      </c>
      <c r="G11" s="6" t="s">
        <v>231</v>
      </c>
      <c r="H11" s="6" t="s">
        <v>241</v>
      </c>
      <c r="I11" s="6" t="s">
        <v>250</v>
      </c>
      <c r="J11" s="6">
        <v>2.8</v>
      </c>
      <c r="K11" s="6">
        <v>4</v>
      </c>
      <c r="L11" s="6">
        <v>0</v>
      </c>
      <c r="M11" s="6">
        <v>11.2</v>
      </c>
      <c r="N11" s="6">
        <v>8.9600000000000009</v>
      </c>
      <c r="O11" s="6">
        <v>2.2400000000000002</v>
      </c>
      <c r="P11" s="6" t="s">
        <v>255</v>
      </c>
      <c r="R11" s="9" t="s">
        <v>260</v>
      </c>
      <c r="U11">
        <f>AVERAGE(SalesData[Sales])</f>
        <v>15.910666666666662</v>
      </c>
    </row>
    <row r="12" spans="1:21" ht="18.5" x14ac:dyDescent="0.45">
      <c r="A12" s="6" t="s">
        <v>24</v>
      </c>
      <c r="B12" s="7">
        <f>DATE(YEAR(SalesData[[#This Row],[Date]]),MONTH(SalesData[[#This Row],[Date]]),1)</f>
        <v>46235</v>
      </c>
      <c r="C12" s="6" t="str">
        <f>TEXT(SalesData[[#This Row],[monthdate]],"mmmm")</f>
        <v>August</v>
      </c>
      <c r="D12" s="7">
        <v>46252</v>
      </c>
      <c r="E12" s="6" t="s">
        <v>194</v>
      </c>
      <c r="F12" s="6" t="s">
        <v>203</v>
      </c>
      <c r="G12" s="6" t="s">
        <v>228</v>
      </c>
      <c r="H12" s="6" t="s">
        <v>238</v>
      </c>
      <c r="I12" s="6" t="s">
        <v>248</v>
      </c>
      <c r="J12" s="6">
        <v>1.8</v>
      </c>
      <c r="K12" s="6">
        <v>5</v>
      </c>
      <c r="L12" s="6">
        <v>0.1</v>
      </c>
      <c r="M12" s="6">
        <v>8.1</v>
      </c>
      <c r="N12" s="6">
        <v>6.48</v>
      </c>
      <c r="O12" s="6">
        <v>1.62</v>
      </c>
      <c r="P12" s="6" t="s">
        <v>255</v>
      </c>
    </row>
    <row r="13" spans="1:21" ht="31" x14ac:dyDescent="0.45">
      <c r="A13" s="6" t="s">
        <v>25</v>
      </c>
      <c r="B13" s="7">
        <f>DATE(YEAR(SalesData[[#This Row],[Date]]),MONTH(SalesData[[#This Row],[Date]]),1)</f>
        <v>46174</v>
      </c>
      <c r="C13" s="6" t="str">
        <f>TEXT(SalesData[[#This Row],[monthdate]],"mmmm")</f>
        <v>June</v>
      </c>
      <c r="D13" s="7">
        <v>46198</v>
      </c>
      <c r="E13" s="6" t="s">
        <v>197</v>
      </c>
      <c r="F13" s="6" t="s">
        <v>199</v>
      </c>
      <c r="G13" s="6" t="s">
        <v>231</v>
      </c>
      <c r="H13" s="6" t="s">
        <v>241</v>
      </c>
      <c r="I13" s="6" t="s">
        <v>250</v>
      </c>
      <c r="J13" s="6">
        <v>2.8</v>
      </c>
      <c r="K13" s="6">
        <v>3</v>
      </c>
      <c r="L13" s="6">
        <v>0.05</v>
      </c>
      <c r="M13" s="6">
        <v>7.98</v>
      </c>
      <c r="N13" s="6">
        <v>6.72</v>
      </c>
      <c r="O13" s="6">
        <v>1.26</v>
      </c>
      <c r="P13" s="6" t="s">
        <v>254</v>
      </c>
      <c r="R13" s="10"/>
    </row>
    <row r="14" spans="1:21" ht="18.5" x14ac:dyDescent="0.45">
      <c r="A14" s="6" t="s">
        <v>26</v>
      </c>
      <c r="B14" s="7">
        <f>DATE(YEAR(SalesData[[#This Row],[Date]]),MONTH(SalesData[[#This Row],[Date]]),1)</f>
        <v>46296</v>
      </c>
      <c r="C14" s="6" t="str">
        <f>TEXT(SalesData[[#This Row],[monthdate]],"mmmm")</f>
        <v>October</v>
      </c>
      <c r="D14" s="7">
        <v>46316</v>
      </c>
      <c r="E14" s="6" t="s">
        <v>196</v>
      </c>
      <c r="F14" s="6" t="s">
        <v>206</v>
      </c>
      <c r="G14" s="6" t="s">
        <v>234</v>
      </c>
      <c r="H14" s="6" t="s">
        <v>244</v>
      </c>
      <c r="I14" s="6" t="s">
        <v>252</v>
      </c>
      <c r="J14" s="6">
        <v>5.5</v>
      </c>
      <c r="K14" s="6">
        <v>6</v>
      </c>
      <c r="L14" s="6">
        <v>0</v>
      </c>
      <c r="M14" s="6">
        <v>33</v>
      </c>
      <c r="N14" s="6">
        <v>24.09</v>
      </c>
      <c r="O14" s="6">
        <v>8.91</v>
      </c>
      <c r="P14" s="6" t="s">
        <v>255</v>
      </c>
    </row>
    <row r="15" spans="1:21" ht="18.5" x14ac:dyDescent="0.45">
      <c r="A15" s="6" t="s">
        <v>27</v>
      </c>
      <c r="B15" s="7">
        <f>DATE(YEAR(SalesData[[#This Row],[Date]]),MONTH(SalesData[[#This Row],[Date]]),1)</f>
        <v>46235</v>
      </c>
      <c r="C15" s="6" t="str">
        <f>TEXT(SalesData[[#This Row],[monthdate]],"mmmm")</f>
        <v>August</v>
      </c>
      <c r="D15" s="7">
        <v>46256</v>
      </c>
      <c r="E15" s="6" t="s">
        <v>196</v>
      </c>
      <c r="F15" s="6" t="s">
        <v>207</v>
      </c>
      <c r="G15" s="6" t="s">
        <v>233</v>
      </c>
      <c r="H15" s="6" t="s">
        <v>243</v>
      </c>
      <c r="I15" s="6" t="s">
        <v>252</v>
      </c>
      <c r="J15" s="6">
        <v>3.8</v>
      </c>
      <c r="K15" s="6">
        <v>2</v>
      </c>
      <c r="L15" s="6">
        <v>0</v>
      </c>
      <c r="M15" s="6">
        <v>7.6</v>
      </c>
      <c r="N15" s="6">
        <v>5.4</v>
      </c>
      <c r="O15" s="6">
        <v>2.2000000000000002</v>
      </c>
      <c r="P15" s="6" t="s">
        <v>254</v>
      </c>
      <c r="R15" s="8"/>
    </row>
    <row r="16" spans="1:21" ht="18.5" x14ac:dyDescent="0.45">
      <c r="A16" s="6" t="s">
        <v>28</v>
      </c>
      <c r="B16" s="7">
        <f>DATE(YEAR(SalesData[[#This Row],[Date]]),MONTH(SalesData[[#This Row],[Date]]),1)</f>
        <v>46357</v>
      </c>
      <c r="C16" s="6" t="str">
        <f>TEXT(SalesData[[#This Row],[monthdate]],"mmmm")</f>
        <v>December</v>
      </c>
      <c r="D16" s="7">
        <v>46382</v>
      </c>
      <c r="E16" s="6" t="s">
        <v>197</v>
      </c>
      <c r="F16" s="6" t="s">
        <v>202</v>
      </c>
      <c r="G16" s="6" t="s">
        <v>230</v>
      </c>
      <c r="H16" s="6" t="s">
        <v>240</v>
      </c>
      <c r="I16" s="6" t="s">
        <v>250</v>
      </c>
      <c r="J16" s="6">
        <v>1.5</v>
      </c>
      <c r="K16" s="6">
        <v>5</v>
      </c>
      <c r="L16" s="6">
        <v>0.1</v>
      </c>
      <c r="M16" s="6">
        <v>6.75</v>
      </c>
      <c r="N16" s="6">
        <v>5.85</v>
      </c>
      <c r="O16" s="6">
        <v>0.9</v>
      </c>
      <c r="P16" s="6" t="s">
        <v>255</v>
      </c>
    </row>
    <row r="17" spans="1:18" ht="18.5" x14ac:dyDescent="0.45">
      <c r="A17" s="6" t="s">
        <v>29</v>
      </c>
      <c r="B17" s="7">
        <f>DATE(YEAR(SalesData[[#This Row],[Date]]),MONTH(SalesData[[#This Row],[Date]]),1)</f>
        <v>46023</v>
      </c>
      <c r="C17" s="6" t="str">
        <f>TEXT(SalesData[[#This Row],[monthdate]],"mmmm")</f>
        <v>January</v>
      </c>
      <c r="D17" s="7">
        <v>46034</v>
      </c>
      <c r="E17" s="6" t="s">
        <v>195</v>
      </c>
      <c r="F17" s="6" t="s">
        <v>206</v>
      </c>
      <c r="G17" s="6" t="s">
        <v>228</v>
      </c>
      <c r="H17" s="6" t="s">
        <v>238</v>
      </c>
      <c r="I17" s="6" t="s">
        <v>248</v>
      </c>
      <c r="J17" s="6">
        <v>1.8</v>
      </c>
      <c r="K17" s="6">
        <v>8</v>
      </c>
      <c r="L17" s="6">
        <v>0</v>
      </c>
      <c r="M17" s="6">
        <v>14.4</v>
      </c>
      <c r="N17" s="6">
        <v>10.37</v>
      </c>
      <c r="O17" s="6">
        <v>4.03</v>
      </c>
      <c r="P17" s="6" t="s">
        <v>254</v>
      </c>
    </row>
    <row r="18" spans="1:18" ht="18.5" x14ac:dyDescent="0.45">
      <c r="A18" s="6" t="s">
        <v>30</v>
      </c>
      <c r="B18" s="7">
        <f>DATE(YEAR(SalesData[[#This Row],[Date]]),MONTH(SalesData[[#This Row],[Date]]),1)</f>
        <v>46023</v>
      </c>
      <c r="C18" s="6" t="str">
        <f>TEXT(SalesData[[#This Row],[monthdate]],"mmmm")</f>
        <v>January</v>
      </c>
      <c r="D18" s="7">
        <v>46053</v>
      </c>
      <c r="E18" s="6" t="s">
        <v>195</v>
      </c>
      <c r="F18" s="6" t="s">
        <v>208</v>
      </c>
      <c r="G18" s="6" t="s">
        <v>235</v>
      </c>
      <c r="H18" s="6" t="s">
        <v>245</v>
      </c>
      <c r="I18" s="6" t="s">
        <v>249</v>
      </c>
      <c r="J18" s="6">
        <v>1.4</v>
      </c>
      <c r="K18" s="6">
        <v>4</v>
      </c>
      <c r="L18" s="6">
        <v>0</v>
      </c>
      <c r="M18" s="6">
        <v>5.6</v>
      </c>
      <c r="N18" s="6">
        <v>3.81</v>
      </c>
      <c r="O18" s="6">
        <v>1.79</v>
      </c>
      <c r="P18" s="6" t="s">
        <v>254</v>
      </c>
    </row>
    <row r="19" spans="1:18" ht="18.5" x14ac:dyDescent="0.45">
      <c r="A19" s="6" t="s">
        <v>31</v>
      </c>
      <c r="B19" s="7">
        <f>DATE(YEAR(SalesData[[#This Row],[Date]]),MONTH(SalesData[[#This Row],[Date]]),1)</f>
        <v>46204</v>
      </c>
      <c r="C19" s="6" t="str">
        <f>TEXT(SalesData[[#This Row],[monthdate]],"mmmm")</f>
        <v>July</v>
      </c>
      <c r="D19" s="7">
        <v>46223</v>
      </c>
      <c r="E19" s="6" t="s">
        <v>195</v>
      </c>
      <c r="F19" s="6" t="s">
        <v>209</v>
      </c>
      <c r="G19" s="6" t="s">
        <v>229</v>
      </c>
      <c r="H19" s="6" t="s">
        <v>239</v>
      </c>
      <c r="I19" s="6" t="s">
        <v>249</v>
      </c>
      <c r="J19" s="6">
        <v>2.5</v>
      </c>
      <c r="K19" s="6">
        <v>8</v>
      </c>
      <c r="L19" s="6">
        <v>0</v>
      </c>
      <c r="M19" s="6">
        <v>20</v>
      </c>
      <c r="N19" s="6">
        <v>14</v>
      </c>
      <c r="O19" s="6">
        <v>6</v>
      </c>
      <c r="P19" s="6" t="s">
        <v>255</v>
      </c>
      <c r="R19" s="8"/>
    </row>
    <row r="20" spans="1:18" ht="18.5" x14ac:dyDescent="0.45">
      <c r="A20" s="6" t="s">
        <v>32</v>
      </c>
      <c r="B20" s="7">
        <f>DATE(YEAR(SalesData[[#This Row],[Date]]),MONTH(SalesData[[#This Row],[Date]]),1)</f>
        <v>46143</v>
      </c>
      <c r="C20" s="6" t="str">
        <f>TEXT(SalesData[[#This Row],[monthdate]],"mmmm")</f>
        <v>May</v>
      </c>
      <c r="D20" s="7">
        <v>46165</v>
      </c>
      <c r="E20" s="6" t="s">
        <v>196</v>
      </c>
      <c r="F20" s="6" t="s">
        <v>210</v>
      </c>
      <c r="G20" s="6" t="s">
        <v>234</v>
      </c>
      <c r="H20" s="6" t="s">
        <v>244</v>
      </c>
      <c r="I20" s="6" t="s">
        <v>252</v>
      </c>
      <c r="J20" s="6">
        <v>5.5</v>
      </c>
      <c r="K20" s="6">
        <v>3</v>
      </c>
      <c r="L20" s="6">
        <v>0.05</v>
      </c>
      <c r="M20" s="6">
        <v>15.67</v>
      </c>
      <c r="N20" s="6">
        <v>12.04</v>
      </c>
      <c r="O20" s="6">
        <v>3.63</v>
      </c>
      <c r="P20" s="6" t="s">
        <v>255</v>
      </c>
    </row>
    <row r="21" spans="1:18" ht="18.5" x14ac:dyDescent="0.45">
      <c r="A21" s="6" t="s">
        <v>33</v>
      </c>
      <c r="B21" s="7">
        <f>DATE(YEAR(SalesData[[#This Row],[Date]]),MONTH(SalesData[[#This Row],[Date]]),1)</f>
        <v>46357</v>
      </c>
      <c r="C21" s="6" t="str">
        <f>TEXT(SalesData[[#This Row],[monthdate]],"mmmm")</f>
        <v>December</v>
      </c>
      <c r="D21" s="7">
        <v>46372</v>
      </c>
      <c r="E21" s="6" t="s">
        <v>195</v>
      </c>
      <c r="F21" s="6" t="s">
        <v>211</v>
      </c>
      <c r="G21" s="6" t="s">
        <v>228</v>
      </c>
      <c r="H21" s="6" t="s">
        <v>238</v>
      </c>
      <c r="I21" s="6" t="s">
        <v>248</v>
      </c>
      <c r="J21" s="6">
        <v>1.8</v>
      </c>
      <c r="K21" s="6">
        <v>7</v>
      </c>
      <c r="L21" s="6">
        <v>0</v>
      </c>
      <c r="M21" s="6">
        <v>12.6</v>
      </c>
      <c r="N21" s="6">
        <v>9.07</v>
      </c>
      <c r="O21" s="6">
        <v>3.53</v>
      </c>
      <c r="P21" s="6" t="s">
        <v>254</v>
      </c>
    </row>
    <row r="22" spans="1:18" ht="18.5" x14ac:dyDescent="0.45">
      <c r="A22" s="6" t="s">
        <v>34</v>
      </c>
      <c r="B22" s="7">
        <f>DATE(YEAR(SalesData[[#This Row],[Date]]),MONTH(SalesData[[#This Row],[Date]]),1)</f>
        <v>46113</v>
      </c>
      <c r="C22" s="6" t="str">
        <f>TEXT(SalesData[[#This Row],[monthdate]],"mmmm")</f>
        <v>April</v>
      </c>
      <c r="D22" s="7">
        <v>46141</v>
      </c>
      <c r="E22" s="6" t="s">
        <v>194</v>
      </c>
      <c r="F22" s="6" t="s">
        <v>207</v>
      </c>
      <c r="G22" s="6" t="s">
        <v>231</v>
      </c>
      <c r="H22" s="6" t="s">
        <v>241</v>
      </c>
      <c r="I22" s="6" t="s">
        <v>250</v>
      </c>
      <c r="J22" s="6">
        <v>2.8</v>
      </c>
      <c r="K22" s="6">
        <v>11</v>
      </c>
      <c r="L22" s="6">
        <v>0</v>
      </c>
      <c r="M22" s="6">
        <v>30.8</v>
      </c>
      <c r="N22" s="6">
        <v>24.64</v>
      </c>
      <c r="O22" s="6">
        <v>6.16</v>
      </c>
      <c r="P22" s="6" t="s">
        <v>254</v>
      </c>
    </row>
    <row r="23" spans="1:18" ht="18.5" x14ac:dyDescent="0.45">
      <c r="A23" s="6" t="s">
        <v>35</v>
      </c>
      <c r="B23" s="7">
        <f>DATE(YEAR(SalesData[[#This Row],[Date]]),MONTH(SalesData[[#This Row],[Date]]),1)</f>
        <v>46143</v>
      </c>
      <c r="C23" s="6" t="str">
        <f>TEXT(SalesData[[#This Row],[monthdate]],"mmmm")</f>
        <v>May</v>
      </c>
      <c r="D23" s="7">
        <v>46167</v>
      </c>
      <c r="E23" s="6" t="s">
        <v>197</v>
      </c>
      <c r="F23" s="6" t="s">
        <v>200</v>
      </c>
      <c r="G23" s="6" t="s">
        <v>236</v>
      </c>
      <c r="H23" s="6" t="s">
        <v>246</v>
      </c>
      <c r="I23" s="6" t="s">
        <v>248</v>
      </c>
      <c r="J23" s="6">
        <v>3.2</v>
      </c>
      <c r="K23" s="6">
        <v>1</v>
      </c>
      <c r="L23" s="6">
        <v>0</v>
      </c>
      <c r="M23" s="6">
        <v>3.2</v>
      </c>
      <c r="N23" s="6">
        <v>2.4300000000000002</v>
      </c>
      <c r="O23" s="6">
        <v>0.77</v>
      </c>
      <c r="P23" s="6" t="s">
        <v>255</v>
      </c>
      <c r="R23" s="8"/>
    </row>
    <row r="24" spans="1:18" ht="18.5" x14ac:dyDescent="0.45">
      <c r="A24" s="6" t="s">
        <v>36</v>
      </c>
      <c r="B24" s="7">
        <f>DATE(YEAR(SalesData[[#This Row],[Date]]),MONTH(SalesData[[#This Row],[Date]]),1)</f>
        <v>46296</v>
      </c>
      <c r="C24" s="6" t="str">
        <f>TEXT(SalesData[[#This Row],[monthdate]],"mmmm")</f>
        <v>October</v>
      </c>
      <c r="D24" s="7">
        <v>46312</v>
      </c>
      <c r="E24" s="6" t="s">
        <v>194</v>
      </c>
      <c r="F24" s="6" t="s">
        <v>209</v>
      </c>
      <c r="G24" s="6" t="s">
        <v>233</v>
      </c>
      <c r="H24" s="6" t="s">
        <v>243</v>
      </c>
      <c r="I24" s="6" t="s">
        <v>252</v>
      </c>
      <c r="J24" s="6">
        <v>3.8</v>
      </c>
      <c r="K24" s="6">
        <v>6</v>
      </c>
      <c r="L24" s="6">
        <v>0</v>
      </c>
      <c r="M24" s="6">
        <v>22.8</v>
      </c>
      <c r="N24" s="6">
        <v>16.190000000000001</v>
      </c>
      <c r="O24" s="6">
        <v>6.61</v>
      </c>
      <c r="P24" s="6" t="s">
        <v>255</v>
      </c>
    </row>
    <row r="25" spans="1:18" ht="18.5" x14ac:dyDescent="0.45">
      <c r="A25" s="6" t="s">
        <v>37</v>
      </c>
      <c r="B25" s="7">
        <f>DATE(YEAR(SalesData[[#This Row],[Date]]),MONTH(SalesData[[#This Row],[Date]]),1)</f>
        <v>46204</v>
      </c>
      <c r="C25" s="6" t="str">
        <f>TEXT(SalesData[[#This Row],[monthdate]],"mmmm")</f>
        <v>July</v>
      </c>
      <c r="D25" s="7">
        <v>46227</v>
      </c>
      <c r="E25" s="6" t="s">
        <v>197</v>
      </c>
      <c r="F25" s="6" t="s">
        <v>212</v>
      </c>
      <c r="G25" s="6" t="s">
        <v>229</v>
      </c>
      <c r="H25" s="6" t="s">
        <v>239</v>
      </c>
      <c r="I25" s="6" t="s">
        <v>249</v>
      </c>
      <c r="J25" s="6">
        <v>2.5</v>
      </c>
      <c r="K25" s="6">
        <v>7</v>
      </c>
      <c r="L25" s="6">
        <v>0</v>
      </c>
      <c r="M25" s="6">
        <v>17.5</v>
      </c>
      <c r="N25" s="6">
        <v>12.25</v>
      </c>
      <c r="O25" s="6">
        <v>5.25</v>
      </c>
      <c r="P25" s="6" t="s">
        <v>255</v>
      </c>
    </row>
    <row r="26" spans="1:18" ht="18.5" x14ac:dyDescent="0.45">
      <c r="A26" s="6" t="s">
        <v>38</v>
      </c>
      <c r="B26" s="7">
        <f>DATE(YEAR(SalesData[[#This Row],[Date]]),MONTH(SalesData[[#This Row],[Date]]),1)</f>
        <v>46113</v>
      </c>
      <c r="C26" s="6" t="str">
        <f>TEXT(SalesData[[#This Row],[monthdate]],"mmmm")</f>
        <v>April</v>
      </c>
      <c r="D26" s="7">
        <v>46120</v>
      </c>
      <c r="E26" s="6" t="s">
        <v>197</v>
      </c>
      <c r="F26" s="6" t="s">
        <v>213</v>
      </c>
      <c r="G26" s="6" t="s">
        <v>230</v>
      </c>
      <c r="H26" s="6" t="s">
        <v>240</v>
      </c>
      <c r="I26" s="6" t="s">
        <v>250</v>
      </c>
      <c r="J26" s="6">
        <v>1.5</v>
      </c>
      <c r="K26" s="6">
        <v>2</v>
      </c>
      <c r="L26" s="6">
        <v>0</v>
      </c>
      <c r="M26" s="6">
        <v>3</v>
      </c>
      <c r="N26" s="6">
        <v>2.34</v>
      </c>
      <c r="O26" s="6">
        <v>0.66</v>
      </c>
      <c r="P26" s="6" t="s">
        <v>254</v>
      </c>
    </row>
    <row r="27" spans="1:18" ht="18.5" x14ac:dyDescent="0.45">
      <c r="A27" s="6" t="s">
        <v>39</v>
      </c>
      <c r="B27" s="7">
        <f>DATE(YEAR(SalesData[[#This Row],[Date]]),MONTH(SalesData[[#This Row],[Date]]),1)</f>
        <v>46327</v>
      </c>
      <c r="C27" s="6" t="str">
        <f>TEXT(SalesData[[#This Row],[monthdate]],"mmmm")</f>
        <v>November</v>
      </c>
      <c r="D27" s="7">
        <v>46330</v>
      </c>
      <c r="E27" s="6" t="s">
        <v>194</v>
      </c>
      <c r="F27" s="6" t="s">
        <v>201</v>
      </c>
      <c r="G27" s="6" t="s">
        <v>228</v>
      </c>
      <c r="H27" s="6" t="s">
        <v>238</v>
      </c>
      <c r="I27" s="6" t="s">
        <v>248</v>
      </c>
      <c r="J27" s="6">
        <v>1.8</v>
      </c>
      <c r="K27" s="6">
        <v>1</v>
      </c>
      <c r="L27" s="6">
        <v>0</v>
      </c>
      <c r="M27" s="6">
        <v>1.8</v>
      </c>
      <c r="N27" s="6">
        <v>1.3</v>
      </c>
      <c r="O27" s="6">
        <v>0.5</v>
      </c>
      <c r="P27" s="6" t="s">
        <v>254</v>
      </c>
      <c r="R27" s="8"/>
    </row>
    <row r="28" spans="1:18" ht="18.5" x14ac:dyDescent="0.45">
      <c r="A28" s="6" t="s">
        <v>40</v>
      </c>
      <c r="B28" s="7">
        <f>DATE(YEAR(SalesData[[#This Row],[Date]]),MONTH(SalesData[[#This Row],[Date]]),1)</f>
        <v>46054</v>
      </c>
      <c r="C28" s="6" t="str">
        <f>TEXT(SalesData[[#This Row],[monthdate]],"mmmm")</f>
        <v>February</v>
      </c>
      <c r="D28" s="7">
        <v>46074</v>
      </c>
      <c r="E28" s="6" t="s">
        <v>194</v>
      </c>
      <c r="F28" s="6" t="s">
        <v>211</v>
      </c>
      <c r="G28" s="6" t="s">
        <v>234</v>
      </c>
      <c r="H28" s="6" t="s">
        <v>244</v>
      </c>
      <c r="I28" s="6" t="s">
        <v>252</v>
      </c>
      <c r="J28" s="6">
        <v>5.5</v>
      </c>
      <c r="K28" s="6">
        <v>6</v>
      </c>
      <c r="L28" s="6">
        <v>0.1</v>
      </c>
      <c r="M28" s="6">
        <v>29.7</v>
      </c>
      <c r="N28" s="6">
        <v>24.09</v>
      </c>
      <c r="O28" s="6">
        <v>5.61</v>
      </c>
      <c r="P28" s="6" t="s">
        <v>254</v>
      </c>
    </row>
    <row r="29" spans="1:18" ht="18.5" x14ac:dyDescent="0.45">
      <c r="A29" s="6" t="s">
        <v>41</v>
      </c>
      <c r="B29" s="7">
        <f>DATE(YEAR(SalesData[[#This Row],[Date]]),MONTH(SalesData[[#This Row],[Date]]),1)</f>
        <v>46204</v>
      </c>
      <c r="C29" s="6" t="str">
        <f>TEXT(SalesData[[#This Row],[monthdate]],"mmmm")</f>
        <v>July</v>
      </c>
      <c r="D29" s="7">
        <v>46215</v>
      </c>
      <c r="E29" s="6" t="s">
        <v>196</v>
      </c>
      <c r="F29" s="6" t="s">
        <v>206</v>
      </c>
      <c r="G29" s="6" t="s">
        <v>233</v>
      </c>
      <c r="H29" s="6" t="s">
        <v>243</v>
      </c>
      <c r="I29" s="6" t="s">
        <v>252</v>
      </c>
      <c r="J29" s="6">
        <v>3.8</v>
      </c>
      <c r="K29" s="6">
        <v>3</v>
      </c>
      <c r="L29" s="6">
        <v>0</v>
      </c>
      <c r="M29" s="6">
        <v>11.4</v>
      </c>
      <c r="N29" s="6">
        <v>8.09</v>
      </c>
      <c r="O29" s="6">
        <v>3.31</v>
      </c>
      <c r="P29" s="6" t="s">
        <v>255</v>
      </c>
    </row>
    <row r="30" spans="1:18" ht="18.5" x14ac:dyDescent="0.45">
      <c r="A30" s="6" t="s">
        <v>42</v>
      </c>
      <c r="B30" s="7">
        <f>DATE(YEAR(SalesData[[#This Row],[Date]]),MONTH(SalesData[[#This Row],[Date]]),1)</f>
        <v>46082</v>
      </c>
      <c r="C30" s="6" t="str">
        <f>TEXT(SalesData[[#This Row],[monthdate]],"mmmm")</f>
        <v>March</v>
      </c>
      <c r="D30" s="7">
        <v>46085</v>
      </c>
      <c r="E30" s="6" t="s">
        <v>197</v>
      </c>
      <c r="F30" s="6" t="s">
        <v>207</v>
      </c>
      <c r="G30" s="6" t="s">
        <v>235</v>
      </c>
      <c r="H30" s="6" t="s">
        <v>245</v>
      </c>
      <c r="I30" s="6" t="s">
        <v>249</v>
      </c>
      <c r="J30" s="6">
        <v>1.4</v>
      </c>
      <c r="K30" s="6">
        <v>2</v>
      </c>
      <c r="L30" s="6">
        <v>0.05</v>
      </c>
      <c r="M30" s="6">
        <v>2.66</v>
      </c>
      <c r="N30" s="6">
        <v>1.9</v>
      </c>
      <c r="O30" s="6">
        <v>0.76</v>
      </c>
      <c r="P30" s="6" t="s">
        <v>255</v>
      </c>
    </row>
    <row r="31" spans="1:18" ht="18.5" x14ac:dyDescent="0.45">
      <c r="A31" s="6" t="s">
        <v>43</v>
      </c>
      <c r="B31" s="7">
        <f>DATE(YEAR(SalesData[[#This Row],[Date]]),MONTH(SalesData[[#This Row],[Date]]),1)</f>
        <v>46054</v>
      </c>
      <c r="C31" s="6" t="str">
        <f>TEXT(SalesData[[#This Row],[monthdate]],"mmmm")</f>
        <v>February</v>
      </c>
      <c r="D31" s="7">
        <v>46066</v>
      </c>
      <c r="E31" s="6" t="s">
        <v>196</v>
      </c>
      <c r="F31" s="6" t="s">
        <v>208</v>
      </c>
      <c r="G31" s="6" t="s">
        <v>236</v>
      </c>
      <c r="H31" s="6" t="s">
        <v>246</v>
      </c>
      <c r="I31" s="6" t="s">
        <v>248</v>
      </c>
      <c r="J31" s="6">
        <v>3.2</v>
      </c>
      <c r="K31" s="6">
        <v>3</v>
      </c>
      <c r="L31" s="6">
        <v>0</v>
      </c>
      <c r="M31" s="6">
        <v>9.6</v>
      </c>
      <c r="N31" s="6">
        <v>7.3</v>
      </c>
      <c r="O31" s="6">
        <v>2.2999999999999998</v>
      </c>
      <c r="P31" s="6" t="s">
        <v>255</v>
      </c>
      <c r="R31" s="8"/>
    </row>
    <row r="32" spans="1:18" ht="18.5" x14ac:dyDescent="0.45">
      <c r="A32" s="6" t="s">
        <v>44</v>
      </c>
      <c r="B32" s="7">
        <f>DATE(YEAR(SalesData[[#This Row],[Date]]),MONTH(SalesData[[#This Row],[Date]]),1)</f>
        <v>46357</v>
      </c>
      <c r="C32" s="6" t="str">
        <f>TEXT(SalesData[[#This Row],[monthdate]],"mmmm")</f>
        <v>December</v>
      </c>
      <c r="D32" s="7">
        <v>46377</v>
      </c>
      <c r="E32" s="6" t="s">
        <v>194</v>
      </c>
      <c r="F32" s="6" t="s">
        <v>214</v>
      </c>
      <c r="G32" s="6" t="s">
        <v>235</v>
      </c>
      <c r="H32" s="6" t="s">
        <v>245</v>
      </c>
      <c r="I32" s="6" t="s">
        <v>249</v>
      </c>
      <c r="J32" s="6">
        <v>1.4</v>
      </c>
      <c r="K32" s="6">
        <v>3</v>
      </c>
      <c r="L32" s="6">
        <v>0.1</v>
      </c>
      <c r="M32" s="6">
        <v>3.78</v>
      </c>
      <c r="N32" s="6">
        <v>2.86</v>
      </c>
      <c r="O32" s="6">
        <v>0.92</v>
      </c>
      <c r="P32" s="6" t="s">
        <v>255</v>
      </c>
    </row>
    <row r="33" spans="1:18" ht="18.5" x14ac:dyDescent="0.45">
      <c r="A33" s="6" t="s">
        <v>45</v>
      </c>
      <c r="B33" s="7">
        <f>DATE(YEAR(SalesData[[#This Row],[Date]]),MONTH(SalesData[[#This Row],[Date]]),1)</f>
        <v>46357</v>
      </c>
      <c r="C33" s="6" t="str">
        <f>TEXT(SalesData[[#This Row],[monthdate]],"mmmm")</f>
        <v>December</v>
      </c>
      <c r="D33" s="7">
        <v>46376</v>
      </c>
      <c r="E33" s="6" t="s">
        <v>196</v>
      </c>
      <c r="F33" s="6" t="s">
        <v>212</v>
      </c>
      <c r="G33" s="6" t="s">
        <v>231</v>
      </c>
      <c r="H33" s="6" t="s">
        <v>241</v>
      </c>
      <c r="I33" s="6" t="s">
        <v>250</v>
      </c>
      <c r="J33" s="6">
        <v>2.8</v>
      </c>
      <c r="K33" s="6">
        <v>9</v>
      </c>
      <c r="L33" s="6">
        <v>0</v>
      </c>
      <c r="M33" s="6">
        <v>25.2</v>
      </c>
      <c r="N33" s="6">
        <v>20.16</v>
      </c>
      <c r="O33" s="6">
        <v>5.04</v>
      </c>
      <c r="P33" s="6" t="s">
        <v>254</v>
      </c>
    </row>
    <row r="34" spans="1:18" ht="18.5" x14ac:dyDescent="0.45">
      <c r="A34" s="6" t="s">
        <v>46</v>
      </c>
      <c r="B34" s="7">
        <f>DATE(YEAR(SalesData[[#This Row],[Date]]),MONTH(SalesData[[#This Row],[Date]]),1)</f>
        <v>46266</v>
      </c>
      <c r="C34" s="6" t="str">
        <f>TEXT(SalesData[[#This Row],[monthdate]],"mmmm")</f>
        <v>September</v>
      </c>
      <c r="D34" s="7">
        <v>46288</v>
      </c>
      <c r="E34" s="6" t="s">
        <v>196</v>
      </c>
      <c r="F34" s="6" t="s">
        <v>215</v>
      </c>
      <c r="G34" s="6" t="s">
        <v>236</v>
      </c>
      <c r="H34" s="6" t="s">
        <v>246</v>
      </c>
      <c r="I34" s="6" t="s">
        <v>248</v>
      </c>
      <c r="J34" s="6">
        <v>3.2</v>
      </c>
      <c r="K34" s="6">
        <v>6</v>
      </c>
      <c r="L34" s="6">
        <v>0</v>
      </c>
      <c r="M34" s="6">
        <v>19.2</v>
      </c>
      <c r="N34" s="6">
        <v>14.59</v>
      </c>
      <c r="O34" s="6">
        <v>4.6100000000000003</v>
      </c>
      <c r="P34" s="6" t="s">
        <v>254</v>
      </c>
    </row>
    <row r="35" spans="1:18" ht="31" x14ac:dyDescent="0.45">
      <c r="A35" s="6" t="s">
        <v>47</v>
      </c>
      <c r="B35" s="7">
        <f>DATE(YEAR(SalesData[[#This Row],[Date]]),MONTH(SalesData[[#This Row],[Date]]),1)</f>
        <v>46296</v>
      </c>
      <c r="C35" s="6" t="str">
        <f>TEXT(SalesData[[#This Row],[monthdate]],"mmmm")</f>
        <v>October</v>
      </c>
      <c r="D35" s="7">
        <v>46300</v>
      </c>
      <c r="E35" s="6" t="s">
        <v>195</v>
      </c>
      <c r="F35" s="6" t="s">
        <v>206</v>
      </c>
      <c r="G35" s="6" t="s">
        <v>234</v>
      </c>
      <c r="H35" s="6" t="s">
        <v>244</v>
      </c>
      <c r="I35" s="6" t="s">
        <v>252</v>
      </c>
      <c r="J35" s="6">
        <v>5.5</v>
      </c>
      <c r="K35" s="6">
        <v>9</v>
      </c>
      <c r="L35" s="6">
        <v>0</v>
      </c>
      <c r="M35" s="6">
        <v>49.5</v>
      </c>
      <c r="N35" s="6">
        <v>36.130000000000003</v>
      </c>
      <c r="O35" s="6">
        <v>13.37</v>
      </c>
      <c r="P35" s="6" t="s">
        <v>254</v>
      </c>
      <c r="R35" s="10"/>
    </row>
    <row r="36" spans="1:18" ht="18.5" x14ac:dyDescent="0.45">
      <c r="A36" s="6" t="s">
        <v>48</v>
      </c>
      <c r="B36" s="7">
        <f>DATE(YEAR(SalesData[[#This Row],[Date]]),MONTH(SalesData[[#This Row],[Date]]),1)</f>
        <v>46204</v>
      </c>
      <c r="C36" s="6" t="str">
        <f>TEXT(SalesData[[#This Row],[monthdate]],"mmmm")</f>
        <v>July</v>
      </c>
      <c r="D36" s="7">
        <v>46228</v>
      </c>
      <c r="E36" s="6" t="s">
        <v>195</v>
      </c>
      <c r="F36" s="6" t="s">
        <v>205</v>
      </c>
      <c r="G36" s="6" t="s">
        <v>237</v>
      </c>
      <c r="H36" s="6" t="s">
        <v>247</v>
      </c>
      <c r="I36" s="6" t="s">
        <v>253</v>
      </c>
      <c r="J36" s="6">
        <v>6.5</v>
      </c>
      <c r="K36" s="6">
        <v>12</v>
      </c>
      <c r="L36" s="6">
        <v>0</v>
      </c>
      <c r="M36" s="6">
        <v>78</v>
      </c>
      <c r="N36" s="6">
        <v>63.96</v>
      </c>
      <c r="O36" s="6">
        <v>14.04</v>
      </c>
      <c r="P36" s="6" t="s">
        <v>255</v>
      </c>
    </row>
    <row r="37" spans="1:18" ht="18.5" x14ac:dyDescent="0.45">
      <c r="A37" s="6" t="s">
        <v>49</v>
      </c>
      <c r="B37" s="7">
        <f>DATE(YEAR(SalesData[[#This Row],[Date]]),MONTH(SalesData[[#This Row],[Date]]),1)</f>
        <v>46023</v>
      </c>
      <c r="C37" s="6" t="str">
        <f>TEXT(SalesData[[#This Row],[monthdate]],"mmmm")</f>
        <v>January</v>
      </c>
      <c r="D37" s="7">
        <v>46037</v>
      </c>
      <c r="E37" s="6" t="s">
        <v>197</v>
      </c>
      <c r="F37" s="6" t="s">
        <v>216</v>
      </c>
      <c r="G37" s="6" t="s">
        <v>228</v>
      </c>
      <c r="H37" s="6" t="s">
        <v>238</v>
      </c>
      <c r="I37" s="6" t="s">
        <v>248</v>
      </c>
      <c r="J37" s="6">
        <v>1.8</v>
      </c>
      <c r="K37" s="6">
        <v>1</v>
      </c>
      <c r="L37" s="6">
        <v>0</v>
      </c>
      <c r="M37" s="6">
        <v>1.8</v>
      </c>
      <c r="N37" s="6">
        <v>1.3</v>
      </c>
      <c r="O37" s="6">
        <v>0.5</v>
      </c>
      <c r="P37" s="6" t="s">
        <v>254</v>
      </c>
    </row>
    <row r="38" spans="1:18" ht="18.5" x14ac:dyDescent="0.45">
      <c r="A38" s="6" t="s">
        <v>50</v>
      </c>
      <c r="B38" s="7">
        <f>DATE(YEAR(SalesData[[#This Row],[Date]]),MONTH(SalesData[[#This Row],[Date]]),1)</f>
        <v>46174</v>
      </c>
      <c r="C38" s="6" t="str">
        <f>TEXT(SalesData[[#This Row],[monthdate]],"mmmm")</f>
        <v>June</v>
      </c>
      <c r="D38" s="7">
        <v>46199</v>
      </c>
      <c r="E38" s="6" t="s">
        <v>196</v>
      </c>
      <c r="F38" s="6" t="s">
        <v>211</v>
      </c>
      <c r="G38" s="6" t="s">
        <v>233</v>
      </c>
      <c r="H38" s="6" t="s">
        <v>243</v>
      </c>
      <c r="I38" s="6" t="s">
        <v>252</v>
      </c>
      <c r="J38" s="6">
        <v>3.8</v>
      </c>
      <c r="K38" s="6">
        <v>8</v>
      </c>
      <c r="L38" s="6">
        <v>0</v>
      </c>
      <c r="M38" s="6">
        <v>30.4</v>
      </c>
      <c r="N38" s="6">
        <v>21.58</v>
      </c>
      <c r="O38" s="6">
        <v>8.82</v>
      </c>
      <c r="P38" s="6" t="s">
        <v>254</v>
      </c>
    </row>
    <row r="39" spans="1:18" ht="18.5" x14ac:dyDescent="0.45">
      <c r="A39" s="6" t="s">
        <v>51</v>
      </c>
      <c r="B39" s="7">
        <f>DATE(YEAR(SalesData[[#This Row],[Date]]),MONTH(SalesData[[#This Row],[Date]]),1)</f>
        <v>46113</v>
      </c>
      <c r="C39" s="6" t="str">
        <f>TEXT(SalesData[[#This Row],[monthdate]],"mmmm")</f>
        <v>April</v>
      </c>
      <c r="D39" s="7">
        <v>46139</v>
      </c>
      <c r="E39" s="6" t="s">
        <v>196</v>
      </c>
      <c r="F39" s="6" t="s">
        <v>214</v>
      </c>
      <c r="G39" s="6" t="s">
        <v>232</v>
      </c>
      <c r="H39" s="6" t="s">
        <v>242</v>
      </c>
      <c r="I39" s="6" t="s">
        <v>251</v>
      </c>
      <c r="J39" s="6">
        <v>1.2</v>
      </c>
      <c r="K39" s="6">
        <v>8</v>
      </c>
      <c r="L39" s="6">
        <v>0</v>
      </c>
      <c r="M39" s="6">
        <v>9.6</v>
      </c>
      <c r="N39" s="6">
        <v>7.2</v>
      </c>
      <c r="O39" s="6">
        <v>2.4</v>
      </c>
      <c r="P39" s="6" t="s">
        <v>255</v>
      </c>
      <c r="R39" s="9"/>
    </row>
    <row r="40" spans="1:18" ht="18.5" x14ac:dyDescent="0.45">
      <c r="A40" s="6" t="s">
        <v>52</v>
      </c>
      <c r="B40" s="7">
        <f>DATE(YEAR(SalesData[[#This Row],[Date]]),MONTH(SalesData[[#This Row],[Date]]),1)</f>
        <v>46327</v>
      </c>
      <c r="C40" s="6" t="str">
        <f>TEXT(SalesData[[#This Row],[monthdate]],"mmmm")</f>
        <v>November</v>
      </c>
      <c r="D40" s="7">
        <v>46335</v>
      </c>
      <c r="E40" s="6" t="s">
        <v>196</v>
      </c>
      <c r="F40" s="6" t="s">
        <v>217</v>
      </c>
      <c r="G40" s="6" t="s">
        <v>233</v>
      </c>
      <c r="H40" s="6" t="s">
        <v>243</v>
      </c>
      <c r="I40" s="6" t="s">
        <v>252</v>
      </c>
      <c r="J40" s="6">
        <v>3.8</v>
      </c>
      <c r="K40" s="6">
        <v>1</v>
      </c>
      <c r="L40" s="6">
        <v>0.05</v>
      </c>
      <c r="M40" s="6">
        <v>3.61</v>
      </c>
      <c r="N40" s="6">
        <v>2.7</v>
      </c>
      <c r="O40" s="6">
        <v>0.91</v>
      </c>
      <c r="P40" s="6" t="s">
        <v>254</v>
      </c>
      <c r="R40" s="16"/>
    </row>
    <row r="41" spans="1:18" ht="18.5" x14ac:dyDescent="0.45">
      <c r="A41" s="6" t="s">
        <v>53</v>
      </c>
      <c r="B41" s="7">
        <f>DATE(YEAR(SalesData[[#This Row],[Date]]),MONTH(SalesData[[#This Row],[Date]]),1)</f>
        <v>46204</v>
      </c>
      <c r="C41" s="6" t="str">
        <f>TEXT(SalesData[[#This Row],[monthdate]],"mmmm")</f>
        <v>July</v>
      </c>
      <c r="D41" s="7">
        <v>46221</v>
      </c>
      <c r="E41" s="6" t="s">
        <v>197</v>
      </c>
      <c r="F41" s="6" t="s">
        <v>218</v>
      </c>
      <c r="G41" s="6" t="s">
        <v>232</v>
      </c>
      <c r="H41" s="6" t="s">
        <v>242</v>
      </c>
      <c r="I41" s="6" t="s">
        <v>251</v>
      </c>
      <c r="J41" s="6">
        <v>1.2</v>
      </c>
      <c r="K41" s="6">
        <v>12</v>
      </c>
      <c r="L41" s="6">
        <v>0</v>
      </c>
      <c r="M41" s="6">
        <v>14.4</v>
      </c>
      <c r="N41" s="6">
        <v>10.8</v>
      </c>
      <c r="O41" s="6">
        <v>3.6</v>
      </c>
      <c r="P41" s="6" t="s">
        <v>254</v>
      </c>
      <c r="R41" s="16"/>
    </row>
    <row r="42" spans="1:18" ht="18.5" x14ac:dyDescent="0.45">
      <c r="A42" s="6" t="s">
        <v>54</v>
      </c>
      <c r="B42" s="7">
        <f>DATE(YEAR(SalesData[[#This Row],[Date]]),MONTH(SalesData[[#This Row],[Date]]),1)</f>
        <v>46327</v>
      </c>
      <c r="C42" s="6" t="str">
        <f>TEXT(SalesData[[#This Row],[monthdate]],"mmmm")</f>
        <v>November</v>
      </c>
      <c r="D42" s="7">
        <v>46348</v>
      </c>
      <c r="E42" s="6" t="s">
        <v>197</v>
      </c>
      <c r="F42" s="6" t="s">
        <v>209</v>
      </c>
      <c r="G42" s="6" t="s">
        <v>229</v>
      </c>
      <c r="H42" s="6" t="s">
        <v>239</v>
      </c>
      <c r="I42" s="6" t="s">
        <v>249</v>
      </c>
      <c r="J42" s="6">
        <v>2.5</v>
      </c>
      <c r="K42" s="6">
        <v>6</v>
      </c>
      <c r="L42" s="6">
        <v>0</v>
      </c>
      <c r="M42" s="6">
        <v>15</v>
      </c>
      <c r="N42" s="6">
        <v>10.5</v>
      </c>
      <c r="O42" s="6">
        <v>4.5</v>
      </c>
      <c r="P42" s="6" t="s">
        <v>255</v>
      </c>
    </row>
    <row r="43" spans="1:18" ht="18.5" x14ac:dyDescent="0.45">
      <c r="A43" s="6" t="s">
        <v>55</v>
      </c>
      <c r="B43" s="7">
        <f>DATE(YEAR(SalesData[[#This Row],[Date]]),MONTH(SalesData[[#This Row],[Date]]),1)</f>
        <v>46082</v>
      </c>
      <c r="C43" s="6" t="str">
        <f>TEXT(SalesData[[#This Row],[monthdate]],"mmmm")</f>
        <v>March</v>
      </c>
      <c r="D43" s="7">
        <v>46104</v>
      </c>
      <c r="E43" s="6" t="s">
        <v>194</v>
      </c>
      <c r="F43" s="6" t="s">
        <v>219</v>
      </c>
      <c r="G43" s="6" t="s">
        <v>232</v>
      </c>
      <c r="H43" s="6" t="s">
        <v>242</v>
      </c>
      <c r="I43" s="6" t="s">
        <v>251</v>
      </c>
      <c r="J43" s="6">
        <v>1.2</v>
      </c>
      <c r="K43" s="6">
        <v>3</v>
      </c>
      <c r="L43" s="6">
        <v>0</v>
      </c>
      <c r="M43" s="6">
        <v>3.6</v>
      </c>
      <c r="N43" s="6">
        <v>2.7</v>
      </c>
      <c r="O43" s="6">
        <v>0.9</v>
      </c>
      <c r="P43" s="6" t="s">
        <v>255</v>
      </c>
      <c r="R43" s="9"/>
    </row>
    <row r="44" spans="1:18" ht="18.5" x14ac:dyDescent="0.45">
      <c r="A44" s="6" t="s">
        <v>56</v>
      </c>
      <c r="B44" s="7">
        <f>DATE(YEAR(SalesData[[#This Row],[Date]]),MONTH(SalesData[[#This Row],[Date]]),1)</f>
        <v>46327</v>
      </c>
      <c r="C44" s="6" t="str">
        <f>TEXT(SalesData[[#This Row],[monthdate]],"mmmm")</f>
        <v>November</v>
      </c>
      <c r="D44" s="7">
        <v>46336</v>
      </c>
      <c r="E44" s="6" t="s">
        <v>196</v>
      </c>
      <c r="F44" s="6" t="s">
        <v>219</v>
      </c>
      <c r="G44" s="6" t="s">
        <v>231</v>
      </c>
      <c r="H44" s="6" t="s">
        <v>241</v>
      </c>
      <c r="I44" s="6" t="s">
        <v>250</v>
      </c>
      <c r="J44" s="6">
        <v>2.8</v>
      </c>
      <c r="K44" s="6">
        <v>10</v>
      </c>
      <c r="L44" s="6">
        <v>0.05</v>
      </c>
      <c r="M44" s="6">
        <v>26.6</v>
      </c>
      <c r="N44" s="6">
        <v>22.4</v>
      </c>
      <c r="O44" s="6">
        <v>4.2</v>
      </c>
      <c r="P44" s="6" t="s">
        <v>254</v>
      </c>
      <c r="R44" s="16"/>
    </row>
    <row r="45" spans="1:18" ht="18.5" x14ac:dyDescent="0.45">
      <c r="A45" s="6" t="s">
        <v>57</v>
      </c>
      <c r="B45" s="7">
        <f>DATE(YEAR(SalesData[[#This Row],[Date]]),MONTH(SalesData[[#This Row],[Date]]),1)</f>
        <v>46023</v>
      </c>
      <c r="C45" s="6" t="str">
        <f>TEXT(SalesData[[#This Row],[monthdate]],"mmmm")</f>
        <v>January</v>
      </c>
      <c r="D45" s="7">
        <v>46030</v>
      </c>
      <c r="E45" s="6" t="s">
        <v>195</v>
      </c>
      <c r="F45" s="6" t="s">
        <v>220</v>
      </c>
      <c r="G45" s="6" t="s">
        <v>230</v>
      </c>
      <c r="H45" s="6" t="s">
        <v>240</v>
      </c>
      <c r="I45" s="6" t="s">
        <v>250</v>
      </c>
      <c r="J45" s="6">
        <v>1.5</v>
      </c>
      <c r="K45" s="6">
        <v>12</v>
      </c>
      <c r="L45" s="6">
        <v>0</v>
      </c>
      <c r="M45" s="6">
        <v>18</v>
      </c>
      <c r="N45" s="6">
        <v>14.04</v>
      </c>
      <c r="O45" s="6">
        <v>3.96</v>
      </c>
      <c r="P45" s="6" t="s">
        <v>254</v>
      </c>
      <c r="R45" s="16"/>
    </row>
    <row r="46" spans="1:18" ht="18.5" x14ac:dyDescent="0.45">
      <c r="A46" s="6" t="s">
        <v>58</v>
      </c>
      <c r="B46" s="7">
        <f>DATE(YEAR(SalesData[[#This Row],[Date]]),MONTH(SalesData[[#This Row],[Date]]),1)</f>
        <v>46023</v>
      </c>
      <c r="C46" s="6" t="str">
        <f>TEXT(SalesData[[#This Row],[monthdate]],"mmmm")</f>
        <v>January</v>
      </c>
      <c r="D46" s="7">
        <v>46037</v>
      </c>
      <c r="E46" s="6" t="s">
        <v>196</v>
      </c>
      <c r="F46" s="6" t="s">
        <v>205</v>
      </c>
      <c r="G46" s="6" t="s">
        <v>237</v>
      </c>
      <c r="H46" s="6" t="s">
        <v>247</v>
      </c>
      <c r="I46" s="6" t="s">
        <v>253</v>
      </c>
      <c r="J46" s="6">
        <v>6.5</v>
      </c>
      <c r="K46" s="6">
        <v>5</v>
      </c>
      <c r="L46" s="6">
        <v>0</v>
      </c>
      <c r="M46" s="6">
        <v>32.5</v>
      </c>
      <c r="N46" s="6">
        <v>26.65</v>
      </c>
      <c r="O46" s="6">
        <v>5.85</v>
      </c>
      <c r="P46" s="6" t="s">
        <v>254</v>
      </c>
      <c r="R46" s="16"/>
    </row>
    <row r="47" spans="1:18" ht="18.5" x14ac:dyDescent="0.45">
      <c r="A47" s="6" t="s">
        <v>59</v>
      </c>
      <c r="B47" s="7">
        <f>DATE(YEAR(SalesData[[#This Row],[Date]]),MONTH(SalesData[[#This Row],[Date]]),1)</f>
        <v>46174</v>
      </c>
      <c r="C47" s="6" t="str">
        <f>TEXT(SalesData[[#This Row],[monthdate]],"mmmm")</f>
        <v>June</v>
      </c>
      <c r="D47" s="7">
        <v>46189</v>
      </c>
      <c r="E47" s="6" t="s">
        <v>197</v>
      </c>
      <c r="F47" s="6" t="s">
        <v>198</v>
      </c>
      <c r="G47" s="6" t="s">
        <v>233</v>
      </c>
      <c r="H47" s="6" t="s">
        <v>243</v>
      </c>
      <c r="I47" s="6" t="s">
        <v>252</v>
      </c>
      <c r="J47" s="6">
        <v>3.8</v>
      </c>
      <c r="K47" s="6">
        <v>5</v>
      </c>
      <c r="L47" s="6">
        <v>0.1</v>
      </c>
      <c r="M47" s="6">
        <v>17.100000000000001</v>
      </c>
      <c r="N47" s="6">
        <v>13.49</v>
      </c>
      <c r="O47" s="6">
        <v>3.61</v>
      </c>
      <c r="P47" s="6" t="s">
        <v>254</v>
      </c>
      <c r="R47" s="16"/>
    </row>
    <row r="48" spans="1:18" ht="18.5" x14ac:dyDescent="0.45">
      <c r="A48" s="6" t="s">
        <v>60</v>
      </c>
      <c r="B48" s="7">
        <f>DATE(YEAR(SalesData[[#This Row],[Date]]),MONTH(SalesData[[#This Row],[Date]]),1)</f>
        <v>46204</v>
      </c>
      <c r="C48" s="6" t="str">
        <f>TEXT(SalesData[[#This Row],[monthdate]],"mmmm")</f>
        <v>July</v>
      </c>
      <c r="D48" s="7">
        <v>46204</v>
      </c>
      <c r="E48" s="6" t="s">
        <v>197</v>
      </c>
      <c r="F48" s="6" t="s">
        <v>198</v>
      </c>
      <c r="G48" s="6" t="s">
        <v>230</v>
      </c>
      <c r="H48" s="6" t="s">
        <v>240</v>
      </c>
      <c r="I48" s="6" t="s">
        <v>250</v>
      </c>
      <c r="J48" s="6">
        <v>1.5</v>
      </c>
      <c r="K48" s="6">
        <v>8</v>
      </c>
      <c r="L48" s="6">
        <v>0.1</v>
      </c>
      <c r="M48" s="6">
        <v>10.8</v>
      </c>
      <c r="N48" s="6">
        <v>9.36</v>
      </c>
      <c r="O48" s="6">
        <v>1.44</v>
      </c>
      <c r="P48" s="6" t="s">
        <v>254</v>
      </c>
    </row>
    <row r="49" spans="1:18" ht="18.5" x14ac:dyDescent="0.45">
      <c r="A49" s="6" t="s">
        <v>61</v>
      </c>
      <c r="B49" s="7">
        <f>DATE(YEAR(SalesData[[#This Row],[Date]]),MONTH(SalesData[[#This Row],[Date]]),1)</f>
        <v>46082</v>
      </c>
      <c r="C49" s="6" t="str">
        <f>TEXT(SalesData[[#This Row],[monthdate]],"mmmm")</f>
        <v>March</v>
      </c>
      <c r="D49" s="7">
        <v>46100</v>
      </c>
      <c r="E49" s="6" t="s">
        <v>194</v>
      </c>
      <c r="F49" s="6" t="s">
        <v>221</v>
      </c>
      <c r="G49" s="6" t="s">
        <v>234</v>
      </c>
      <c r="H49" s="6" t="s">
        <v>244</v>
      </c>
      <c r="I49" s="6" t="s">
        <v>252</v>
      </c>
      <c r="J49" s="6">
        <v>5.5</v>
      </c>
      <c r="K49" s="6">
        <v>9</v>
      </c>
      <c r="L49" s="6">
        <v>0.1</v>
      </c>
      <c r="M49" s="6">
        <v>44.55</v>
      </c>
      <c r="N49" s="6">
        <v>36.130000000000003</v>
      </c>
      <c r="O49" s="6">
        <v>8.42</v>
      </c>
      <c r="P49" s="6" t="s">
        <v>255</v>
      </c>
    </row>
    <row r="50" spans="1:18" ht="18.5" x14ac:dyDescent="0.45">
      <c r="A50" s="6" t="s">
        <v>62</v>
      </c>
      <c r="B50" s="7">
        <f>DATE(YEAR(SalesData[[#This Row],[Date]]),MONTH(SalesData[[#This Row],[Date]]),1)</f>
        <v>46327</v>
      </c>
      <c r="C50" s="6" t="str">
        <f>TEXT(SalesData[[#This Row],[monthdate]],"mmmm")</f>
        <v>November</v>
      </c>
      <c r="D50" s="7">
        <v>46334</v>
      </c>
      <c r="E50" s="6" t="s">
        <v>195</v>
      </c>
      <c r="F50" s="6" t="s">
        <v>219</v>
      </c>
      <c r="G50" s="6" t="s">
        <v>231</v>
      </c>
      <c r="H50" s="6" t="s">
        <v>241</v>
      </c>
      <c r="I50" s="6" t="s">
        <v>250</v>
      </c>
      <c r="J50" s="6">
        <v>2.8</v>
      </c>
      <c r="K50" s="6">
        <v>1</v>
      </c>
      <c r="L50" s="6">
        <v>0</v>
      </c>
      <c r="M50" s="6">
        <v>2.8</v>
      </c>
      <c r="N50" s="6">
        <v>2.2400000000000002</v>
      </c>
      <c r="O50" s="6">
        <v>0.56000000000000005</v>
      </c>
      <c r="P50" s="6" t="s">
        <v>255</v>
      </c>
    </row>
    <row r="51" spans="1:18" ht="18.5" x14ac:dyDescent="0.45">
      <c r="A51" s="6" t="s">
        <v>63</v>
      </c>
      <c r="B51" s="7">
        <f>DATE(YEAR(SalesData[[#This Row],[Date]]),MONTH(SalesData[[#This Row],[Date]]),1)</f>
        <v>46082</v>
      </c>
      <c r="C51" s="6" t="str">
        <f>TEXT(SalesData[[#This Row],[monthdate]],"mmmm")</f>
        <v>March</v>
      </c>
      <c r="D51" s="7">
        <v>46084</v>
      </c>
      <c r="E51" s="6" t="s">
        <v>196</v>
      </c>
      <c r="F51" s="6" t="s">
        <v>204</v>
      </c>
      <c r="G51" s="6" t="s">
        <v>233</v>
      </c>
      <c r="H51" s="6" t="s">
        <v>243</v>
      </c>
      <c r="I51" s="6" t="s">
        <v>252</v>
      </c>
      <c r="J51" s="6">
        <v>3.8</v>
      </c>
      <c r="K51" s="6">
        <v>9</v>
      </c>
      <c r="L51" s="6">
        <v>0</v>
      </c>
      <c r="M51" s="6">
        <v>34.200000000000003</v>
      </c>
      <c r="N51" s="6">
        <v>24.28</v>
      </c>
      <c r="O51" s="6">
        <v>9.92</v>
      </c>
      <c r="P51" s="6" t="s">
        <v>255</v>
      </c>
      <c r="R51" s="8"/>
    </row>
    <row r="52" spans="1:18" ht="18.5" x14ac:dyDescent="0.45">
      <c r="A52" s="6" t="s">
        <v>64</v>
      </c>
      <c r="B52" s="7">
        <f>DATE(YEAR(SalesData[[#This Row],[Date]]),MONTH(SalesData[[#This Row],[Date]]),1)</f>
        <v>46296</v>
      </c>
      <c r="C52" s="6" t="str">
        <f>TEXT(SalesData[[#This Row],[monthdate]],"mmmm")</f>
        <v>October</v>
      </c>
      <c r="D52" s="7">
        <v>46309</v>
      </c>
      <c r="E52" s="6" t="s">
        <v>195</v>
      </c>
      <c r="F52" s="6" t="s">
        <v>216</v>
      </c>
      <c r="G52" s="6" t="s">
        <v>232</v>
      </c>
      <c r="H52" s="6" t="s">
        <v>242</v>
      </c>
      <c r="I52" s="6" t="s">
        <v>251</v>
      </c>
      <c r="J52" s="6">
        <v>1.2</v>
      </c>
      <c r="K52" s="6">
        <v>1</v>
      </c>
      <c r="L52" s="6">
        <v>0</v>
      </c>
      <c r="M52" s="6">
        <v>1.2</v>
      </c>
      <c r="N52" s="6">
        <v>0.9</v>
      </c>
      <c r="O52" s="6">
        <v>0.3</v>
      </c>
      <c r="P52" s="6" t="s">
        <v>254</v>
      </c>
    </row>
    <row r="53" spans="1:18" ht="18.5" x14ac:dyDescent="0.45">
      <c r="A53" s="6" t="s">
        <v>65</v>
      </c>
      <c r="B53" s="7">
        <f>DATE(YEAR(SalesData[[#This Row],[Date]]),MONTH(SalesData[[#This Row],[Date]]),1)</f>
        <v>46266</v>
      </c>
      <c r="C53" s="6" t="str">
        <f>TEXT(SalesData[[#This Row],[monthdate]],"mmmm")</f>
        <v>September</v>
      </c>
      <c r="D53" s="7">
        <v>46282</v>
      </c>
      <c r="E53" s="6" t="s">
        <v>194</v>
      </c>
      <c r="F53" s="6" t="s">
        <v>215</v>
      </c>
      <c r="G53" s="6" t="s">
        <v>232</v>
      </c>
      <c r="H53" s="6" t="s">
        <v>242</v>
      </c>
      <c r="I53" s="6" t="s">
        <v>251</v>
      </c>
      <c r="J53" s="6">
        <v>1.2</v>
      </c>
      <c r="K53" s="6">
        <v>8</v>
      </c>
      <c r="L53" s="6">
        <v>0.1</v>
      </c>
      <c r="M53" s="6">
        <v>8.64</v>
      </c>
      <c r="N53" s="6">
        <v>7.2</v>
      </c>
      <c r="O53" s="6">
        <v>1.44</v>
      </c>
      <c r="P53" s="6" t="s">
        <v>254</v>
      </c>
    </row>
    <row r="54" spans="1:18" ht="18.5" x14ac:dyDescent="0.45">
      <c r="A54" s="6" t="s">
        <v>66</v>
      </c>
      <c r="B54" s="7">
        <f>DATE(YEAR(SalesData[[#This Row],[Date]]),MONTH(SalesData[[#This Row],[Date]]),1)</f>
        <v>46174</v>
      </c>
      <c r="C54" s="6" t="str">
        <f>TEXT(SalesData[[#This Row],[monthdate]],"mmmm")</f>
        <v>June</v>
      </c>
      <c r="D54" s="7">
        <v>46189</v>
      </c>
      <c r="E54" s="6" t="s">
        <v>195</v>
      </c>
      <c r="F54" s="6" t="s">
        <v>210</v>
      </c>
      <c r="G54" s="6" t="s">
        <v>235</v>
      </c>
      <c r="H54" s="6" t="s">
        <v>245</v>
      </c>
      <c r="I54" s="6" t="s">
        <v>249</v>
      </c>
      <c r="J54" s="6">
        <v>1.4</v>
      </c>
      <c r="K54" s="6">
        <v>10</v>
      </c>
      <c r="L54" s="6">
        <v>0.1</v>
      </c>
      <c r="M54" s="6">
        <v>12.6</v>
      </c>
      <c r="N54" s="6">
        <v>9.52</v>
      </c>
      <c r="O54" s="6">
        <v>3.08</v>
      </c>
      <c r="P54" s="6" t="s">
        <v>255</v>
      </c>
    </row>
    <row r="55" spans="1:18" ht="18.5" x14ac:dyDescent="0.45">
      <c r="A55" s="6" t="s">
        <v>67</v>
      </c>
      <c r="B55" s="7">
        <f>DATE(YEAR(SalesData[[#This Row],[Date]]),MONTH(SalesData[[#This Row],[Date]]),1)</f>
        <v>46266</v>
      </c>
      <c r="C55" s="6" t="str">
        <f>TEXT(SalesData[[#This Row],[monthdate]],"mmmm")</f>
        <v>September</v>
      </c>
      <c r="D55" s="7">
        <v>46283</v>
      </c>
      <c r="E55" s="6" t="s">
        <v>195</v>
      </c>
      <c r="F55" s="6" t="s">
        <v>210</v>
      </c>
      <c r="G55" s="6" t="s">
        <v>235</v>
      </c>
      <c r="H55" s="6" t="s">
        <v>245</v>
      </c>
      <c r="I55" s="6" t="s">
        <v>249</v>
      </c>
      <c r="J55" s="6">
        <v>1.4</v>
      </c>
      <c r="K55" s="6">
        <v>9</v>
      </c>
      <c r="L55" s="6">
        <v>0.05</v>
      </c>
      <c r="M55" s="6">
        <v>11.97</v>
      </c>
      <c r="N55" s="6">
        <v>8.57</v>
      </c>
      <c r="O55" s="6">
        <v>3.4</v>
      </c>
      <c r="P55" s="6" t="s">
        <v>255</v>
      </c>
      <c r="R55" s="8"/>
    </row>
    <row r="56" spans="1:18" ht="18.5" x14ac:dyDescent="0.45">
      <c r="A56" s="6" t="s">
        <v>68</v>
      </c>
      <c r="B56" s="7">
        <f>DATE(YEAR(SalesData[[#This Row],[Date]]),MONTH(SalesData[[#This Row],[Date]]),1)</f>
        <v>46113</v>
      </c>
      <c r="C56" s="6" t="str">
        <f>TEXT(SalesData[[#This Row],[monthdate]],"mmmm")</f>
        <v>April</v>
      </c>
      <c r="D56" s="7">
        <v>46126</v>
      </c>
      <c r="E56" s="6" t="s">
        <v>197</v>
      </c>
      <c r="F56" s="6" t="s">
        <v>203</v>
      </c>
      <c r="G56" s="6" t="s">
        <v>234</v>
      </c>
      <c r="H56" s="6" t="s">
        <v>244</v>
      </c>
      <c r="I56" s="6" t="s">
        <v>252</v>
      </c>
      <c r="J56" s="6">
        <v>5.5</v>
      </c>
      <c r="K56" s="6">
        <v>8</v>
      </c>
      <c r="L56" s="6">
        <v>0</v>
      </c>
      <c r="M56" s="6">
        <v>44</v>
      </c>
      <c r="N56" s="6">
        <v>32.119999999999997</v>
      </c>
      <c r="O56" s="6">
        <v>11.88</v>
      </c>
      <c r="P56" s="6" t="s">
        <v>255</v>
      </c>
    </row>
    <row r="57" spans="1:18" ht="18.5" x14ac:dyDescent="0.45">
      <c r="A57" s="6" t="s">
        <v>69</v>
      </c>
      <c r="B57" s="7">
        <f>DATE(YEAR(SalesData[[#This Row],[Date]]),MONTH(SalesData[[#This Row],[Date]]),1)</f>
        <v>46174</v>
      </c>
      <c r="C57" s="6" t="str">
        <f>TEXT(SalesData[[#This Row],[monthdate]],"mmmm")</f>
        <v>June</v>
      </c>
      <c r="D57" s="7">
        <v>46184</v>
      </c>
      <c r="E57" s="6" t="s">
        <v>197</v>
      </c>
      <c r="F57" s="6" t="s">
        <v>211</v>
      </c>
      <c r="G57" s="6" t="s">
        <v>235</v>
      </c>
      <c r="H57" s="6" t="s">
        <v>245</v>
      </c>
      <c r="I57" s="6" t="s">
        <v>249</v>
      </c>
      <c r="J57" s="6">
        <v>1.4</v>
      </c>
      <c r="K57" s="6">
        <v>2</v>
      </c>
      <c r="L57" s="6">
        <v>0</v>
      </c>
      <c r="M57" s="6">
        <v>2.8</v>
      </c>
      <c r="N57" s="6">
        <v>1.9</v>
      </c>
      <c r="O57" s="6">
        <v>0.9</v>
      </c>
      <c r="P57" s="6" t="s">
        <v>254</v>
      </c>
    </row>
    <row r="58" spans="1:18" ht="18.5" x14ac:dyDescent="0.45">
      <c r="A58" s="6" t="s">
        <v>70</v>
      </c>
      <c r="B58" s="7">
        <f>DATE(YEAR(SalesData[[#This Row],[Date]]),MONTH(SalesData[[#This Row],[Date]]),1)</f>
        <v>46082</v>
      </c>
      <c r="C58" s="6" t="str">
        <f>TEXT(SalesData[[#This Row],[monthdate]],"mmmm")</f>
        <v>March</v>
      </c>
      <c r="D58" s="7">
        <v>46085</v>
      </c>
      <c r="E58" s="6" t="s">
        <v>195</v>
      </c>
      <c r="F58" s="6" t="s">
        <v>216</v>
      </c>
      <c r="G58" s="6" t="s">
        <v>236</v>
      </c>
      <c r="H58" s="6" t="s">
        <v>246</v>
      </c>
      <c r="I58" s="6" t="s">
        <v>248</v>
      </c>
      <c r="J58" s="6">
        <v>3.2</v>
      </c>
      <c r="K58" s="6">
        <v>3</v>
      </c>
      <c r="L58" s="6">
        <v>0</v>
      </c>
      <c r="M58" s="6">
        <v>9.6</v>
      </c>
      <c r="N58" s="6">
        <v>7.3</v>
      </c>
      <c r="O58" s="6">
        <v>2.2999999999999998</v>
      </c>
      <c r="P58" s="6" t="s">
        <v>254</v>
      </c>
    </row>
    <row r="59" spans="1:18" ht="18.5" x14ac:dyDescent="0.45">
      <c r="A59" s="6" t="s">
        <v>71</v>
      </c>
      <c r="B59" s="7">
        <f>DATE(YEAR(SalesData[[#This Row],[Date]]),MONTH(SalesData[[#This Row],[Date]]),1)</f>
        <v>46113</v>
      </c>
      <c r="C59" s="6" t="str">
        <f>TEXT(SalesData[[#This Row],[monthdate]],"mmmm")</f>
        <v>April</v>
      </c>
      <c r="D59" s="7">
        <v>46135</v>
      </c>
      <c r="E59" s="6" t="s">
        <v>197</v>
      </c>
      <c r="F59" s="6" t="s">
        <v>218</v>
      </c>
      <c r="G59" s="6" t="s">
        <v>235</v>
      </c>
      <c r="H59" s="6" t="s">
        <v>245</v>
      </c>
      <c r="I59" s="6" t="s">
        <v>249</v>
      </c>
      <c r="J59" s="6">
        <v>1.4</v>
      </c>
      <c r="K59" s="6">
        <v>12</v>
      </c>
      <c r="L59" s="6">
        <v>0</v>
      </c>
      <c r="M59" s="6">
        <v>16.8</v>
      </c>
      <c r="N59" s="6">
        <v>11.42</v>
      </c>
      <c r="O59" s="6">
        <v>5.38</v>
      </c>
      <c r="P59" s="6" t="s">
        <v>255</v>
      </c>
      <c r="R59" s="8"/>
    </row>
    <row r="60" spans="1:18" ht="18.5" x14ac:dyDescent="0.45">
      <c r="A60" s="6" t="s">
        <v>72</v>
      </c>
      <c r="B60" s="7">
        <f>DATE(YEAR(SalesData[[#This Row],[Date]]),MONTH(SalesData[[#This Row],[Date]]),1)</f>
        <v>46357</v>
      </c>
      <c r="C60" s="6" t="str">
        <f>TEXT(SalesData[[#This Row],[monthdate]],"mmmm")</f>
        <v>December</v>
      </c>
      <c r="D60" s="7">
        <v>46364</v>
      </c>
      <c r="E60" s="6" t="s">
        <v>197</v>
      </c>
      <c r="F60" s="6" t="s">
        <v>205</v>
      </c>
      <c r="G60" s="6" t="s">
        <v>231</v>
      </c>
      <c r="H60" s="6" t="s">
        <v>241</v>
      </c>
      <c r="I60" s="6" t="s">
        <v>250</v>
      </c>
      <c r="J60" s="6">
        <v>2.8</v>
      </c>
      <c r="K60" s="6">
        <v>4</v>
      </c>
      <c r="L60" s="6">
        <v>0</v>
      </c>
      <c r="M60" s="6">
        <v>11.2</v>
      </c>
      <c r="N60" s="6">
        <v>8.9600000000000009</v>
      </c>
      <c r="O60" s="6">
        <v>2.2400000000000002</v>
      </c>
      <c r="P60" s="6" t="s">
        <v>255</v>
      </c>
    </row>
    <row r="61" spans="1:18" ht="18.5" x14ac:dyDescent="0.45">
      <c r="A61" s="6" t="s">
        <v>73</v>
      </c>
      <c r="B61" s="7">
        <f>DATE(YEAR(SalesData[[#This Row],[Date]]),MONTH(SalesData[[#This Row],[Date]]),1)</f>
        <v>46235</v>
      </c>
      <c r="C61" s="6" t="str">
        <f>TEXT(SalesData[[#This Row],[monthdate]],"mmmm")</f>
        <v>August</v>
      </c>
      <c r="D61" s="7">
        <v>46238</v>
      </c>
      <c r="E61" s="6" t="s">
        <v>196</v>
      </c>
      <c r="F61" s="6" t="s">
        <v>211</v>
      </c>
      <c r="G61" s="6" t="s">
        <v>228</v>
      </c>
      <c r="H61" s="6" t="s">
        <v>238</v>
      </c>
      <c r="I61" s="6" t="s">
        <v>248</v>
      </c>
      <c r="J61" s="6">
        <v>1.8</v>
      </c>
      <c r="K61" s="6">
        <v>4</v>
      </c>
      <c r="L61" s="6">
        <v>0</v>
      </c>
      <c r="M61" s="6">
        <v>7.2</v>
      </c>
      <c r="N61" s="6">
        <v>5.18</v>
      </c>
      <c r="O61" s="6">
        <v>2.02</v>
      </c>
      <c r="P61" s="6" t="s">
        <v>255</v>
      </c>
    </row>
    <row r="62" spans="1:18" ht="18.5" x14ac:dyDescent="0.45">
      <c r="A62" s="6" t="s">
        <v>74</v>
      </c>
      <c r="B62" s="7">
        <f>DATE(YEAR(SalesData[[#This Row],[Date]]),MONTH(SalesData[[#This Row],[Date]]),1)</f>
        <v>46174</v>
      </c>
      <c r="C62" s="6" t="str">
        <f>TEXT(SalesData[[#This Row],[monthdate]],"mmmm")</f>
        <v>June</v>
      </c>
      <c r="D62" s="7">
        <v>46196</v>
      </c>
      <c r="E62" s="6" t="s">
        <v>197</v>
      </c>
      <c r="F62" s="6" t="s">
        <v>210</v>
      </c>
      <c r="G62" s="6" t="s">
        <v>230</v>
      </c>
      <c r="H62" s="6" t="s">
        <v>240</v>
      </c>
      <c r="I62" s="6" t="s">
        <v>250</v>
      </c>
      <c r="J62" s="6">
        <v>1.5</v>
      </c>
      <c r="K62" s="6">
        <v>9</v>
      </c>
      <c r="L62" s="6">
        <v>0.05</v>
      </c>
      <c r="M62" s="6">
        <v>12.82</v>
      </c>
      <c r="N62" s="6">
        <v>10.53</v>
      </c>
      <c r="O62" s="6">
        <v>2.29</v>
      </c>
      <c r="P62" s="6" t="s">
        <v>254</v>
      </c>
    </row>
    <row r="63" spans="1:18" ht="31" x14ac:dyDescent="0.45">
      <c r="A63" s="6" t="s">
        <v>75</v>
      </c>
      <c r="B63" s="7">
        <f>DATE(YEAR(SalesData[[#This Row],[Date]]),MONTH(SalesData[[#This Row],[Date]]),1)</f>
        <v>46174</v>
      </c>
      <c r="C63" s="6" t="str">
        <f>TEXT(SalesData[[#This Row],[monthdate]],"mmmm")</f>
        <v>June</v>
      </c>
      <c r="D63" s="7">
        <v>46192</v>
      </c>
      <c r="E63" s="6" t="s">
        <v>196</v>
      </c>
      <c r="F63" s="6" t="s">
        <v>205</v>
      </c>
      <c r="G63" s="6" t="s">
        <v>229</v>
      </c>
      <c r="H63" s="6" t="s">
        <v>239</v>
      </c>
      <c r="I63" s="6" t="s">
        <v>249</v>
      </c>
      <c r="J63" s="6">
        <v>2.5</v>
      </c>
      <c r="K63" s="6">
        <v>9</v>
      </c>
      <c r="L63" s="6">
        <v>0.1</v>
      </c>
      <c r="M63" s="6">
        <v>20.25</v>
      </c>
      <c r="N63" s="6">
        <v>15.75</v>
      </c>
      <c r="O63" s="6">
        <v>4.5</v>
      </c>
      <c r="P63" s="6" t="s">
        <v>254</v>
      </c>
      <c r="R63" s="10"/>
    </row>
    <row r="64" spans="1:18" ht="18.5" x14ac:dyDescent="0.45">
      <c r="A64" s="6" t="s">
        <v>76</v>
      </c>
      <c r="B64" s="7">
        <f>DATE(YEAR(SalesData[[#This Row],[Date]]),MONTH(SalesData[[#This Row],[Date]]),1)</f>
        <v>46113</v>
      </c>
      <c r="C64" s="6" t="str">
        <f>TEXT(SalesData[[#This Row],[monthdate]],"mmmm")</f>
        <v>April</v>
      </c>
      <c r="D64" s="7">
        <v>46140</v>
      </c>
      <c r="E64" s="6" t="s">
        <v>196</v>
      </c>
      <c r="F64" s="6" t="s">
        <v>216</v>
      </c>
      <c r="G64" s="6" t="s">
        <v>232</v>
      </c>
      <c r="H64" s="6" t="s">
        <v>242</v>
      </c>
      <c r="I64" s="6" t="s">
        <v>251</v>
      </c>
      <c r="J64" s="6">
        <v>1.2</v>
      </c>
      <c r="K64" s="6">
        <v>2</v>
      </c>
      <c r="L64" s="6">
        <v>0</v>
      </c>
      <c r="M64" s="6">
        <v>2.4</v>
      </c>
      <c r="N64" s="6">
        <v>1.8</v>
      </c>
      <c r="O64" s="6">
        <v>0.6</v>
      </c>
      <c r="P64" s="6" t="s">
        <v>254</v>
      </c>
    </row>
    <row r="65" spans="1:18" ht="18.5" x14ac:dyDescent="0.45">
      <c r="A65" s="6" t="s">
        <v>77</v>
      </c>
      <c r="B65" s="7">
        <f>DATE(YEAR(SalesData[[#This Row],[Date]]),MONTH(SalesData[[#This Row],[Date]]),1)</f>
        <v>46143</v>
      </c>
      <c r="C65" s="6" t="str">
        <f>TEXT(SalesData[[#This Row],[monthdate]],"mmmm")</f>
        <v>May</v>
      </c>
      <c r="D65" s="7">
        <v>46161</v>
      </c>
      <c r="E65" s="6" t="s">
        <v>196</v>
      </c>
      <c r="F65" s="6" t="s">
        <v>222</v>
      </c>
      <c r="G65" s="6" t="s">
        <v>231</v>
      </c>
      <c r="H65" s="6" t="s">
        <v>241</v>
      </c>
      <c r="I65" s="6" t="s">
        <v>250</v>
      </c>
      <c r="J65" s="6">
        <v>2.8</v>
      </c>
      <c r="K65" s="6">
        <v>3</v>
      </c>
      <c r="L65" s="6">
        <v>0.05</v>
      </c>
      <c r="M65" s="6">
        <v>7.98</v>
      </c>
      <c r="N65" s="6">
        <v>6.72</v>
      </c>
      <c r="O65" s="6">
        <v>1.26</v>
      </c>
      <c r="P65" s="6" t="s">
        <v>254</v>
      </c>
    </row>
    <row r="66" spans="1:18" ht="18.5" x14ac:dyDescent="0.45">
      <c r="A66" s="6" t="s">
        <v>78</v>
      </c>
      <c r="B66" s="7">
        <f>DATE(YEAR(SalesData[[#This Row],[Date]]),MONTH(SalesData[[#This Row],[Date]]),1)</f>
        <v>46266</v>
      </c>
      <c r="C66" s="6" t="str">
        <f>TEXT(SalesData[[#This Row],[monthdate]],"mmmm")</f>
        <v>September</v>
      </c>
      <c r="D66" s="7">
        <v>46286</v>
      </c>
      <c r="E66" s="6" t="s">
        <v>196</v>
      </c>
      <c r="F66" s="6" t="s">
        <v>211</v>
      </c>
      <c r="G66" s="6" t="s">
        <v>234</v>
      </c>
      <c r="H66" s="6" t="s">
        <v>244</v>
      </c>
      <c r="I66" s="6" t="s">
        <v>252</v>
      </c>
      <c r="J66" s="6">
        <v>5.5</v>
      </c>
      <c r="K66" s="6">
        <v>10</v>
      </c>
      <c r="L66" s="6">
        <v>0.05</v>
      </c>
      <c r="M66" s="6">
        <v>52.25</v>
      </c>
      <c r="N66" s="6">
        <v>40.15</v>
      </c>
      <c r="O66" s="6">
        <v>12.1</v>
      </c>
      <c r="P66" s="6" t="s">
        <v>255</v>
      </c>
    </row>
    <row r="67" spans="1:18" ht="18.5" x14ac:dyDescent="0.45">
      <c r="A67" s="6" t="s">
        <v>79</v>
      </c>
      <c r="B67" s="7">
        <f>DATE(YEAR(SalesData[[#This Row],[Date]]),MONTH(SalesData[[#This Row],[Date]]),1)</f>
        <v>46357</v>
      </c>
      <c r="C67" s="6" t="str">
        <f>TEXT(SalesData[[#This Row],[monthdate]],"mmmm")</f>
        <v>December</v>
      </c>
      <c r="D67" s="7">
        <v>46375</v>
      </c>
      <c r="E67" s="6" t="s">
        <v>194</v>
      </c>
      <c r="F67" s="6" t="s">
        <v>216</v>
      </c>
      <c r="G67" s="6" t="s">
        <v>230</v>
      </c>
      <c r="H67" s="6" t="s">
        <v>240</v>
      </c>
      <c r="I67" s="6" t="s">
        <v>250</v>
      </c>
      <c r="J67" s="6">
        <v>1.5</v>
      </c>
      <c r="K67" s="6">
        <v>3</v>
      </c>
      <c r="L67" s="6">
        <v>0.05</v>
      </c>
      <c r="M67" s="6">
        <v>4.2699999999999996</v>
      </c>
      <c r="N67" s="6">
        <v>3.51</v>
      </c>
      <c r="O67" s="6">
        <v>0.76</v>
      </c>
      <c r="P67" s="6" t="s">
        <v>254</v>
      </c>
      <c r="R67" s="9"/>
    </row>
    <row r="68" spans="1:18" ht="18.5" x14ac:dyDescent="0.45">
      <c r="A68" s="6" t="s">
        <v>80</v>
      </c>
      <c r="B68" s="7">
        <f>DATE(YEAR(SalesData[[#This Row],[Date]]),MONTH(SalesData[[#This Row],[Date]]),1)</f>
        <v>46143</v>
      </c>
      <c r="C68" s="6" t="str">
        <f>TEXT(SalesData[[#This Row],[monthdate]],"mmmm")</f>
        <v>May</v>
      </c>
      <c r="D68" s="7">
        <v>46156</v>
      </c>
      <c r="E68" s="6" t="s">
        <v>195</v>
      </c>
      <c r="F68" s="6" t="s">
        <v>211</v>
      </c>
      <c r="G68" s="6" t="s">
        <v>232</v>
      </c>
      <c r="H68" s="6" t="s">
        <v>242</v>
      </c>
      <c r="I68" s="6" t="s">
        <v>251</v>
      </c>
      <c r="J68" s="6">
        <v>1.2</v>
      </c>
      <c r="K68" s="6">
        <v>2</v>
      </c>
      <c r="L68" s="6">
        <v>0.1</v>
      </c>
      <c r="M68" s="6">
        <v>2.16</v>
      </c>
      <c r="N68" s="6">
        <v>1.8</v>
      </c>
      <c r="O68" s="6">
        <v>0.36</v>
      </c>
      <c r="P68" s="6" t="s">
        <v>255</v>
      </c>
      <c r="R68" s="16"/>
    </row>
    <row r="69" spans="1:18" ht="18.5" x14ac:dyDescent="0.45">
      <c r="A69" s="6" t="s">
        <v>81</v>
      </c>
      <c r="B69" s="7">
        <f>DATE(YEAR(SalesData[[#This Row],[Date]]),MONTH(SalesData[[#This Row],[Date]]),1)</f>
        <v>46235</v>
      </c>
      <c r="C69" s="6" t="str">
        <f>TEXT(SalesData[[#This Row],[monthdate]],"mmmm")</f>
        <v>August</v>
      </c>
      <c r="D69" s="7">
        <v>46255</v>
      </c>
      <c r="E69" s="6" t="s">
        <v>197</v>
      </c>
      <c r="F69" s="6" t="s">
        <v>223</v>
      </c>
      <c r="G69" s="6" t="s">
        <v>232</v>
      </c>
      <c r="H69" s="6" t="s">
        <v>242</v>
      </c>
      <c r="I69" s="6" t="s">
        <v>251</v>
      </c>
      <c r="J69" s="6">
        <v>1.2</v>
      </c>
      <c r="K69" s="6">
        <v>1</v>
      </c>
      <c r="L69" s="6">
        <v>0</v>
      </c>
      <c r="M69" s="6">
        <v>1.2</v>
      </c>
      <c r="N69" s="6">
        <v>0.9</v>
      </c>
      <c r="O69" s="6">
        <v>0.3</v>
      </c>
      <c r="P69" s="6" t="s">
        <v>255</v>
      </c>
      <c r="R69" s="16"/>
    </row>
    <row r="70" spans="1:18" ht="18.5" x14ac:dyDescent="0.45">
      <c r="A70" s="6" t="s">
        <v>82</v>
      </c>
      <c r="B70" s="7">
        <f>DATE(YEAR(SalesData[[#This Row],[Date]]),MONTH(SalesData[[#This Row],[Date]]),1)</f>
        <v>46082</v>
      </c>
      <c r="C70" s="6" t="str">
        <f>TEXT(SalesData[[#This Row],[monthdate]],"mmmm")</f>
        <v>March</v>
      </c>
      <c r="D70" s="7">
        <v>46089</v>
      </c>
      <c r="E70" s="6" t="s">
        <v>195</v>
      </c>
      <c r="F70" s="6" t="s">
        <v>203</v>
      </c>
      <c r="G70" s="6" t="s">
        <v>233</v>
      </c>
      <c r="H70" s="6" t="s">
        <v>243</v>
      </c>
      <c r="I70" s="6" t="s">
        <v>252</v>
      </c>
      <c r="J70" s="6">
        <v>3.8</v>
      </c>
      <c r="K70" s="6">
        <v>1</v>
      </c>
      <c r="L70" s="6">
        <v>0.1</v>
      </c>
      <c r="M70" s="6">
        <v>3.42</v>
      </c>
      <c r="N70" s="6">
        <v>2.7</v>
      </c>
      <c r="O70" s="6">
        <v>0.72</v>
      </c>
      <c r="P70" s="6" t="s">
        <v>254</v>
      </c>
    </row>
    <row r="71" spans="1:18" ht="18.5" x14ac:dyDescent="0.45">
      <c r="A71" s="6" t="s">
        <v>83</v>
      </c>
      <c r="B71" s="7">
        <f>DATE(YEAR(SalesData[[#This Row],[Date]]),MONTH(SalesData[[#This Row],[Date]]),1)</f>
        <v>46023</v>
      </c>
      <c r="C71" s="6" t="str">
        <f>TEXT(SalesData[[#This Row],[monthdate]],"mmmm")</f>
        <v>January</v>
      </c>
      <c r="D71" s="7">
        <v>46048</v>
      </c>
      <c r="E71" s="6" t="s">
        <v>196</v>
      </c>
      <c r="F71" s="6" t="s">
        <v>212</v>
      </c>
      <c r="G71" s="6" t="s">
        <v>236</v>
      </c>
      <c r="H71" s="6" t="s">
        <v>246</v>
      </c>
      <c r="I71" s="6" t="s">
        <v>248</v>
      </c>
      <c r="J71" s="6">
        <v>3.2</v>
      </c>
      <c r="K71" s="6">
        <v>3</v>
      </c>
      <c r="L71" s="6">
        <v>0</v>
      </c>
      <c r="M71" s="6">
        <v>9.6</v>
      </c>
      <c r="N71" s="6">
        <v>7.3</v>
      </c>
      <c r="O71" s="6">
        <v>2.2999999999999998</v>
      </c>
      <c r="P71" s="6" t="s">
        <v>255</v>
      </c>
      <c r="R71" s="9"/>
    </row>
    <row r="72" spans="1:18" ht="18.5" x14ac:dyDescent="0.45">
      <c r="A72" s="6" t="s">
        <v>84</v>
      </c>
      <c r="B72" s="7">
        <f>DATE(YEAR(SalesData[[#This Row],[Date]]),MONTH(SalesData[[#This Row],[Date]]),1)</f>
        <v>46113</v>
      </c>
      <c r="C72" s="6" t="str">
        <f>TEXT(SalesData[[#This Row],[monthdate]],"mmmm")</f>
        <v>April</v>
      </c>
      <c r="D72" s="7">
        <v>46128</v>
      </c>
      <c r="E72" s="6" t="s">
        <v>195</v>
      </c>
      <c r="F72" s="6" t="s">
        <v>216</v>
      </c>
      <c r="G72" s="6" t="s">
        <v>234</v>
      </c>
      <c r="H72" s="6" t="s">
        <v>244</v>
      </c>
      <c r="I72" s="6" t="s">
        <v>252</v>
      </c>
      <c r="J72" s="6">
        <v>5.5</v>
      </c>
      <c r="K72" s="6">
        <v>5</v>
      </c>
      <c r="L72" s="6">
        <v>0.05</v>
      </c>
      <c r="M72" s="6">
        <v>26.12</v>
      </c>
      <c r="N72" s="6">
        <v>20.07</v>
      </c>
      <c r="O72" s="6">
        <v>6.05</v>
      </c>
      <c r="P72" s="6" t="s">
        <v>255</v>
      </c>
      <c r="R72" s="16"/>
    </row>
    <row r="73" spans="1:18" ht="18.5" x14ac:dyDescent="0.45">
      <c r="A73" s="6" t="s">
        <v>85</v>
      </c>
      <c r="B73" s="7">
        <f>DATE(YEAR(SalesData[[#This Row],[Date]]),MONTH(SalesData[[#This Row],[Date]]),1)</f>
        <v>46143</v>
      </c>
      <c r="C73" s="6" t="str">
        <f>TEXT(SalesData[[#This Row],[monthdate]],"mmmm")</f>
        <v>May</v>
      </c>
      <c r="D73" s="7">
        <v>46151</v>
      </c>
      <c r="E73" s="6" t="s">
        <v>194</v>
      </c>
      <c r="F73" s="6" t="s">
        <v>208</v>
      </c>
      <c r="G73" s="6" t="s">
        <v>230</v>
      </c>
      <c r="H73" s="6" t="s">
        <v>240</v>
      </c>
      <c r="I73" s="6" t="s">
        <v>250</v>
      </c>
      <c r="J73" s="6">
        <v>1.5</v>
      </c>
      <c r="K73" s="6">
        <v>1</v>
      </c>
      <c r="L73" s="6">
        <v>0</v>
      </c>
      <c r="M73" s="6">
        <v>1.5</v>
      </c>
      <c r="N73" s="6">
        <v>1.17</v>
      </c>
      <c r="O73" s="6">
        <v>0.33</v>
      </c>
      <c r="P73" s="6" t="s">
        <v>254</v>
      </c>
      <c r="R73" s="16"/>
    </row>
    <row r="74" spans="1:18" ht="18.5" x14ac:dyDescent="0.45">
      <c r="A74" s="6" t="s">
        <v>86</v>
      </c>
      <c r="B74" s="7">
        <f>DATE(YEAR(SalesData[[#This Row],[Date]]),MONTH(SalesData[[#This Row],[Date]]),1)</f>
        <v>46266</v>
      </c>
      <c r="C74" s="6" t="str">
        <f>TEXT(SalesData[[#This Row],[monthdate]],"mmmm")</f>
        <v>September</v>
      </c>
      <c r="D74" s="7">
        <v>46266</v>
      </c>
      <c r="E74" s="6" t="s">
        <v>194</v>
      </c>
      <c r="F74" s="6" t="s">
        <v>204</v>
      </c>
      <c r="G74" s="6" t="s">
        <v>234</v>
      </c>
      <c r="H74" s="6" t="s">
        <v>244</v>
      </c>
      <c r="I74" s="6" t="s">
        <v>252</v>
      </c>
      <c r="J74" s="6">
        <v>5.5</v>
      </c>
      <c r="K74" s="6">
        <v>4</v>
      </c>
      <c r="L74" s="6">
        <v>0.05</v>
      </c>
      <c r="M74" s="6">
        <v>20.9</v>
      </c>
      <c r="N74" s="6">
        <v>16.059999999999999</v>
      </c>
      <c r="O74" s="6">
        <v>4.84</v>
      </c>
      <c r="P74" s="6" t="s">
        <v>255</v>
      </c>
      <c r="R74" s="16"/>
    </row>
    <row r="75" spans="1:18" ht="18.5" x14ac:dyDescent="0.45">
      <c r="A75" s="6" t="s">
        <v>87</v>
      </c>
      <c r="B75" s="7">
        <f>DATE(YEAR(SalesData[[#This Row],[Date]]),MONTH(SalesData[[#This Row],[Date]]),1)</f>
        <v>46296</v>
      </c>
      <c r="C75" s="6" t="str">
        <f>TEXT(SalesData[[#This Row],[monthdate]],"mmmm")</f>
        <v>October</v>
      </c>
      <c r="D75" s="7">
        <v>46302</v>
      </c>
      <c r="E75" s="6" t="s">
        <v>196</v>
      </c>
      <c r="F75" s="6" t="s">
        <v>210</v>
      </c>
      <c r="G75" s="6" t="s">
        <v>235</v>
      </c>
      <c r="H75" s="6" t="s">
        <v>245</v>
      </c>
      <c r="I75" s="6" t="s">
        <v>249</v>
      </c>
      <c r="J75" s="6">
        <v>1.4</v>
      </c>
      <c r="K75" s="6">
        <v>7</v>
      </c>
      <c r="L75" s="6">
        <v>0.1</v>
      </c>
      <c r="M75" s="6">
        <v>8.82</v>
      </c>
      <c r="N75" s="6">
        <v>6.66</v>
      </c>
      <c r="O75" s="6">
        <v>2.16</v>
      </c>
      <c r="P75" s="6" t="s">
        <v>254</v>
      </c>
      <c r="R75" s="16"/>
    </row>
    <row r="76" spans="1:18" ht="18.5" x14ac:dyDescent="0.45">
      <c r="A76" s="6" t="s">
        <v>88</v>
      </c>
      <c r="B76" s="7">
        <f>DATE(YEAR(SalesData[[#This Row],[Date]]),MONTH(SalesData[[#This Row],[Date]]),1)</f>
        <v>46174</v>
      </c>
      <c r="C76" s="6" t="str">
        <f>TEXT(SalesData[[#This Row],[monthdate]],"mmmm")</f>
        <v>June</v>
      </c>
      <c r="D76" s="7">
        <v>46198</v>
      </c>
      <c r="E76" s="6" t="s">
        <v>197</v>
      </c>
      <c r="F76" s="6" t="s">
        <v>224</v>
      </c>
      <c r="G76" s="6" t="s">
        <v>237</v>
      </c>
      <c r="H76" s="6" t="s">
        <v>247</v>
      </c>
      <c r="I76" s="6" t="s">
        <v>253</v>
      </c>
      <c r="J76" s="6">
        <v>6.5</v>
      </c>
      <c r="K76" s="6">
        <v>4</v>
      </c>
      <c r="L76" s="6">
        <v>0</v>
      </c>
      <c r="M76" s="6">
        <v>26</v>
      </c>
      <c r="N76" s="6">
        <v>21.32</v>
      </c>
      <c r="O76" s="6">
        <v>4.68</v>
      </c>
      <c r="P76" s="6" t="s">
        <v>254</v>
      </c>
    </row>
    <row r="77" spans="1:18" ht="18.5" x14ac:dyDescent="0.45">
      <c r="A77" s="6" t="s">
        <v>89</v>
      </c>
      <c r="B77" s="7">
        <f>DATE(YEAR(SalesData[[#This Row],[Date]]),MONTH(SalesData[[#This Row],[Date]]),1)</f>
        <v>46023</v>
      </c>
      <c r="C77" s="6" t="str">
        <f>TEXT(SalesData[[#This Row],[monthdate]],"mmmm")</f>
        <v>January</v>
      </c>
      <c r="D77" s="7">
        <v>46030</v>
      </c>
      <c r="E77" s="6" t="s">
        <v>197</v>
      </c>
      <c r="F77" s="6" t="s">
        <v>213</v>
      </c>
      <c r="G77" s="6" t="s">
        <v>231</v>
      </c>
      <c r="H77" s="6" t="s">
        <v>241</v>
      </c>
      <c r="I77" s="6" t="s">
        <v>250</v>
      </c>
      <c r="J77" s="6">
        <v>2.8</v>
      </c>
      <c r="K77" s="6">
        <v>2</v>
      </c>
      <c r="L77" s="6">
        <v>0</v>
      </c>
      <c r="M77" s="6">
        <v>5.6</v>
      </c>
      <c r="N77" s="6">
        <v>4.4800000000000004</v>
      </c>
      <c r="O77" s="6">
        <v>1.1200000000000001</v>
      </c>
      <c r="P77" s="6" t="s">
        <v>254</v>
      </c>
    </row>
    <row r="78" spans="1:18" ht="18.5" x14ac:dyDescent="0.45">
      <c r="A78" s="6" t="s">
        <v>90</v>
      </c>
      <c r="B78" s="7">
        <f>DATE(YEAR(SalesData[[#This Row],[Date]]),MONTH(SalesData[[#This Row],[Date]]),1)</f>
        <v>46357</v>
      </c>
      <c r="C78" s="6" t="str">
        <f>TEXT(SalesData[[#This Row],[monthdate]],"mmmm")</f>
        <v>December</v>
      </c>
      <c r="D78" s="7">
        <v>46363</v>
      </c>
      <c r="E78" s="6" t="s">
        <v>196</v>
      </c>
      <c r="F78" s="6" t="s">
        <v>206</v>
      </c>
      <c r="G78" s="6" t="s">
        <v>232</v>
      </c>
      <c r="H78" s="6" t="s">
        <v>242</v>
      </c>
      <c r="I78" s="6" t="s">
        <v>251</v>
      </c>
      <c r="J78" s="6">
        <v>1.2</v>
      </c>
      <c r="K78" s="6">
        <v>7</v>
      </c>
      <c r="L78" s="6">
        <v>0.1</v>
      </c>
      <c r="M78" s="6">
        <v>7.56</v>
      </c>
      <c r="N78" s="6">
        <v>6.3</v>
      </c>
      <c r="O78" s="6">
        <v>1.26</v>
      </c>
      <c r="P78" s="6" t="s">
        <v>254</v>
      </c>
    </row>
    <row r="79" spans="1:18" ht="18.5" x14ac:dyDescent="0.45">
      <c r="A79" s="6" t="s">
        <v>91</v>
      </c>
      <c r="B79" s="7">
        <f>DATE(YEAR(SalesData[[#This Row],[Date]]),MONTH(SalesData[[#This Row],[Date]]),1)</f>
        <v>46023</v>
      </c>
      <c r="C79" s="6" t="str">
        <f>TEXT(SalesData[[#This Row],[monthdate]],"mmmm")</f>
        <v>January</v>
      </c>
      <c r="D79" s="7">
        <v>46046</v>
      </c>
      <c r="E79" s="6" t="s">
        <v>195</v>
      </c>
      <c r="F79" s="6" t="s">
        <v>216</v>
      </c>
      <c r="G79" s="6" t="s">
        <v>236</v>
      </c>
      <c r="H79" s="6" t="s">
        <v>246</v>
      </c>
      <c r="I79" s="6" t="s">
        <v>248</v>
      </c>
      <c r="J79" s="6">
        <v>3.2</v>
      </c>
      <c r="K79" s="6">
        <v>8</v>
      </c>
      <c r="L79" s="6">
        <v>0</v>
      </c>
      <c r="M79" s="6">
        <v>25.6</v>
      </c>
      <c r="N79" s="6">
        <v>19.46</v>
      </c>
      <c r="O79" s="6">
        <v>6.14</v>
      </c>
      <c r="P79" s="6" t="s">
        <v>255</v>
      </c>
      <c r="R79" s="8"/>
    </row>
    <row r="80" spans="1:18" ht="18.5" x14ac:dyDescent="0.45">
      <c r="A80" s="6" t="s">
        <v>92</v>
      </c>
      <c r="B80" s="7">
        <f>DATE(YEAR(SalesData[[#This Row],[Date]]),MONTH(SalesData[[#This Row],[Date]]),1)</f>
        <v>46143</v>
      </c>
      <c r="C80" s="6" t="str">
        <f>TEXT(SalesData[[#This Row],[monthdate]],"mmmm")</f>
        <v>May</v>
      </c>
      <c r="D80" s="7">
        <v>46157</v>
      </c>
      <c r="E80" s="6" t="s">
        <v>196</v>
      </c>
      <c r="F80" s="6" t="s">
        <v>225</v>
      </c>
      <c r="G80" s="6" t="s">
        <v>230</v>
      </c>
      <c r="H80" s="6" t="s">
        <v>240</v>
      </c>
      <c r="I80" s="6" t="s">
        <v>250</v>
      </c>
      <c r="J80" s="6">
        <v>1.5</v>
      </c>
      <c r="K80" s="6">
        <v>6</v>
      </c>
      <c r="L80" s="6">
        <v>0</v>
      </c>
      <c r="M80" s="6">
        <v>9</v>
      </c>
      <c r="N80" s="6">
        <v>7.02</v>
      </c>
      <c r="O80" s="6">
        <v>1.98</v>
      </c>
      <c r="P80" s="6" t="s">
        <v>254</v>
      </c>
    </row>
    <row r="81" spans="1:18" ht="18.5" x14ac:dyDescent="0.45">
      <c r="A81" s="6" t="s">
        <v>93</v>
      </c>
      <c r="B81" s="7">
        <f>DATE(YEAR(SalesData[[#This Row],[Date]]),MONTH(SalesData[[#This Row],[Date]]),1)</f>
        <v>46113</v>
      </c>
      <c r="C81" s="6" t="str">
        <f>TEXT(SalesData[[#This Row],[monthdate]],"mmmm")</f>
        <v>April</v>
      </c>
      <c r="D81" s="7">
        <v>46134</v>
      </c>
      <c r="E81" s="6" t="s">
        <v>194</v>
      </c>
      <c r="F81" s="6" t="s">
        <v>226</v>
      </c>
      <c r="G81" s="6" t="s">
        <v>236</v>
      </c>
      <c r="H81" s="6" t="s">
        <v>246</v>
      </c>
      <c r="I81" s="6" t="s">
        <v>248</v>
      </c>
      <c r="J81" s="6">
        <v>3.2</v>
      </c>
      <c r="K81" s="6">
        <v>6</v>
      </c>
      <c r="L81" s="6">
        <v>0</v>
      </c>
      <c r="M81" s="6">
        <v>19.2</v>
      </c>
      <c r="N81" s="6">
        <v>14.59</v>
      </c>
      <c r="O81" s="6">
        <v>4.6100000000000003</v>
      </c>
      <c r="P81" s="6" t="s">
        <v>255</v>
      </c>
    </row>
    <row r="82" spans="1:18" ht="18.5" x14ac:dyDescent="0.45">
      <c r="A82" s="6" t="s">
        <v>94</v>
      </c>
      <c r="B82" s="7">
        <f>DATE(YEAR(SalesData[[#This Row],[Date]]),MONTH(SalesData[[#This Row],[Date]]),1)</f>
        <v>46266</v>
      </c>
      <c r="C82" s="6" t="str">
        <f>TEXT(SalesData[[#This Row],[monthdate]],"mmmm")</f>
        <v>September</v>
      </c>
      <c r="D82" s="7">
        <v>46266</v>
      </c>
      <c r="E82" s="6" t="s">
        <v>195</v>
      </c>
      <c r="F82" s="6" t="s">
        <v>225</v>
      </c>
      <c r="G82" s="6" t="s">
        <v>232</v>
      </c>
      <c r="H82" s="6" t="s">
        <v>242</v>
      </c>
      <c r="I82" s="6" t="s">
        <v>251</v>
      </c>
      <c r="J82" s="6">
        <v>1.2</v>
      </c>
      <c r="K82" s="6">
        <v>5</v>
      </c>
      <c r="L82" s="6">
        <v>0.1</v>
      </c>
      <c r="M82" s="6">
        <v>5.4</v>
      </c>
      <c r="N82" s="6">
        <v>4.5</v>
      </c>
      <c r="O82" s="6">
        <v>0.9</v>
      </c>
      <c r="P82" s="6" t="s">
        <v>254</v>
      </c>
    </row>
    <row r="83" spans="1:18" ht="18.5" x14ac:dyDescent="0.45">
      <c r="A83" s="6" t="s">
        <v>95</v>
      </c>
      <c r="B83" s="7">
        <f>DATE(YEAR(SalesData[[#This Row],[Date]]),MONTH(SalesData[[#This Row],[Date]]),1)</f>
        <v>46143</v>
      </c>
      <c r="C83" s="6" t="str">
        <f>TEXT(SalesData[[#This Row],[monthdate]],"mmmm")</f>
        <v>May</v>
      </c>
      <c r="D83" s="7">
        <v>46158</v>
      </c>
      <c r="E83" s="6" t="s">
        <v>197</v>
      </c>
      <c r="F83" s="6" t="s">
        <v>201</v>
      </c>
      <c r="G83" s="6" t="s">
        <v>232</v>
      </c>
      <c r="H83" s="6" t="s">
        <v>242</v>
      </c>
      <c r="I83" s="6" t="s">
        <v>251</v>
      </c>
      <c r="J83" s="6">
        <v>1.2</v>
      </c>
      <c r="K83" s="6">
        <v>2</v>
      </c>
      <c r="L83" s="6">
        <v>0</v>
      </c>
      <c r="M83" s="6">
        <v>2.4</v>
      </c>
      <c r="N83" s="6">
        <v>1.8</v>
      </c>
      <c r="O83" s="6">
        <v>0.6</v>
      </c>
      <c r="P83" s="6" t="s">
        <v>254</v>
      </c>
      <c r="R83" s="8"/>
    </row>
    <row r="84" spans="1:18" ht="18.5" x14ac:dyDescent="0.45">
      <c r="A84" s="6" t="s">
        <v>96</v>
      </c>
      <c r="B84" s="7">
        <f>DATE(YEAR(SalesData[[#This Row],[Date]]),MONTH(SalesData[[#This Row],[Date]]),1)</f>
        <v>46023</v>
      </c>
      <c r="C84" s="6" t="str">
        <f>TEXT(SalesData[[#This Row],[monthdate]],"mmmm")</f>
        <v>January</v>
      </c>
      <c r="D84" s="7">
        <v>46034</v>
      </c>
      <c r="E84" s="6" t="s">
        <v>195</v>
      </c>
      <c r="F84" s="6" t="s">
        <v>211</v>
      </c>
      <c r="G84" s="6" t="s">
        <v>229</v>
      </c>
      <c r="H84" s="6" t="s">
        <v>239</v>
      </c>
      <c r="I84" s="6" t="s">
        <v>249</v>
      </c>
      <c r="J84" s="6">
        <v>2.5</v>
      </c>
      <c r="K84" s="6">
        <v>5</v>
      </c>
      <c r="L84" s="6">
        <v>0</v>
      </c>
      <c r="M84" s="6">
        <v>12.5</v>
      </c>
      <c r="N84" s="6">
        <v>8.75</v>
      </c>
      <c r="O84" s="6">
        <v>3.75</v>
      </c>
      <c r="P84" s="6" t="s">
        <v>254</v>
      </c>
    </row>
    <row r="85" spans="1:18" ht="18.5" x14ac:dyDescent="0.45">
      <c r="A85" s="6" t="s">
        <v>97</v>
      </c>
      <c r="B85" s="7">
        <f>DATE(YEAR(SalesData[[#This Row],[Date]]),MONTH(SalesData[[#This Row],[Date]]),1)</f>
        <v>46204</v>
      </c>
      <c r="C85" s="6" t="str">
        <f>TEXT(SalesData[[#This Row],[monthdate]],"mmmm")</f>
        <v>July</v>
      </c>
      <c r="D85" s="7">
        <v>46222</v>
      </c>
      <c r="E85" s="6" t="s">
        <v>195</v>
      </c>
      <c r="F85" s="6" t="s">
        <v>202</v>
      </c>
      <c r="G85" s="6" t="s">
        <v>233</v>
      </c>
      <c r="H85" s="6" t="s">
        <v>243</v>
      </c>
      <c r="I85" s="6" t="s">
        <v>252</v>
      </c>
      <c r="J85" s="6">
        <v>3.8</v>
      </c>
      <c r="K85" s="6">
        <v>6</v>
      </c>
      <c r="L85" s="6">
        <v>0.05</v>
      </c>
      <c r="M85" s="6">
        <v>21.66</v>
      </c>
      <c r="N85" s="6">
        <v>16.190000000000001</v>
      </c>
      <c r="O85" s="6">
        <v>5.47</v>
      </c>
      <c r="P85" s="6" t="s">
        <v>254</v>
      </c>
    </row>
    <row r="86" spans="1:18" ht="18.5" x14ac:dyDescent="0.45">
      <c r="A86" s="6" t="s">
        <v>98</v>
      </c>
      <c r="B86" s="7">
        <f>DATE(YEAR(SalesData[[#This Row],[Date]]),MONTH(SalesData[[#This Row],[Date]]),1)</f>
        <v>46266</v>
      </c>
      <c r="C86" s="6" t="str">
        <f>TEXT(SalesData[[#This Row],[monthdate]],"mmmm")</f>
        <v>September</v>
      </c>
      <c r="D86" s="7">
        <v>46285</v>
      </c>
      <c r="E86" s="6" t="s">
        <v>195</v>
      </c>
      <c r="F86" s="6" t="s">
        <v>223</v>
      </c>
      <c r="G86" s="6" t="s">
        <v>230</v>
      </c>
      <c r="H86" s="6" t="s">
        <v>240</v>
      </c>
      <c r="I86" s="6" t="s">
        <v>250</v>
      </c>
      <c r="J86" s="6">
        <v>1.5</v>
      </c>
      <c r="K86" s="6">
        <v>11</v>
      </c>
      <c r="L86" s="6">
        <v>0.05</v>
      </c>
      <c r="M86" s="6">
        <v>15.67</v>
      </c>
      <c r="N86" s="6">
        <v>12.87</v>
      </c>
      <c r="O86" s="6">
        <v>2.8</v>
      </c>
      <c r="P86" s="6" t="s">
        <v>254</v>
      </c>
    </row>
    <row r="87" spans="1:18" ht="18.5" x14ac:dyDescent="0.45">
      <c r="A87" s="6" t="s">
        <v>99</v>
      </c>
      <c r="B87" s="7">
        <f>DATE(YEAR(SalesData[[#This Row],[Date]]),MONTH(SalesData[[#This Row],[Date]]),1)</f>
        <v>46357</v>
      </c>
      <c r="C87" s="6" t="str">
        <f>TEXT(SalesData[[#This Row],[monthdate]],"mmmm")</f>
        <v>December</v>
      </c>
      <c r="D87" s="7">
        <v>46387</v>
      </c>
      <c r="E87" s="6" t="s">
        <v>194</v>
      </c>
      <c r="F87" s="6" t="s">
        <v>227</v>
      </c>
      <c r="G87" s="6" t="s">
        <v>233</v>
      </c>
      <c r="H87" s="6" t="s">
        <v>243</v>
      </c>
      <c r="I87" s="6" t="s">
        <v>252</v>
      </c>
      <c r="J87" s="6">
        <v>3.8</v>
      </c>
      <c r="K87" s="6">
        <v>11</v>
      </c>
      <c r="L87" s="6">
        <v>0</v>
      </c>
      <c r="M87" s="6">
        <v>41.8</v>
      </c>
      <c r="N87" s="6">
        <v>29.68</v>
      </c>
      <c r="O87" s="6">
        <v>12.12</v>
      </c>
      <c r="P87" s="6" t="s">
        <v>254</v>
      </c>
      <c r="R87" s="8"/>
    </row>
    <row r="88" spans="1:18" ht="18.5" x14ac:dyDescent="0.45">
      <c r="A88" s="6" t="s">
        <v>100</v>
      </c>
      <c r="B88" s="7">
        <f>DATE(YEAR(SalesData[[#This Row],[Date]]),MONTH(SalesData[[#This Row],[Date]]),1)</f>
        <v>46327</v>
      </c>
      <c r="C88" s="6" t="str">
        <f>TEXT(SalesData[[#This Row],[monthdate]],"mmmm")</f>
        <v>November</v>
      </c>
      <c r="D88" s="7">
        <v>46349</v>
      </c>
      <c r="E88" s="6" t="s">
        <v>197</v>
      </c>
      <c r="F88" s="6" t="s">
        <v>198</v>
      </c>
      <c r="G88" s="6" t="s">
        <v>231</v>
      </c>
      <c r="H88" s="6" t="s">
        <v>241</v>
      </c>
      <c r="I88" s="6" t="s">
        <v>250</v>
      </c>
      <c r="J88" s="6">
        <v>2.8</v>
      </c>
      <c r="K88" s="6">
        <v>6</v>
      </c>
      <c r="L88" s="6">
        <v>0</v>
      </c>
      <c r="M88" s="6">
        <v>16.8</v>
      </c>
      <c r="N88" s="6">
        <v>13.44</v>
      </c>
      <c r="O88" s="6">
        <v>3.36</v>
      </c>
      <c r="P88" s="6" t="s">
        <v>255</v>
      </c>
    </row>
    <row r="89" spans="1:18" ht="18.5" x14ac:dyDescent="0.45">
      <c r="A89" s="6" t="s">
        <v>101</v>
      </c>
      <c r="B89" s="7">
        <f>DATE(YEAR(SalesData[[#This Row],[Date]]),MONTH(SalesData[[#This Row],[Date]]),1)</f>
        <v>46023</v>
      </c>
      <c r="C89" s="6" t="str">
        <f>TEXT(SalesData[[#This Row],[monthdate]],"mmmm")</f>
        <v>January</v>
      </c>
      <c r="D89" s="7">
        <v>46048</v>
      </c>
      <c r="E89" s="6" t="s">
        <v>195</v>
      </c>
      <c r="F89" s="6" t="s">
        <v>207</v>
      </c>
      <c r="G89" s="6" t="s">
        <v>234</v>
      </c>
      <c r="H89" s="6" t="s">
        <v>244</v>
      </c>
      <c r="I89" s="6" t="s">
        <v>252</v>
      </c>
      <c r="J89" s="6">
        <v>5.5</v>
      </c>
      <c r="K89" s="6">
        <v>11</v>
      </c>
      <c r="L89" s="6">
        <v>0</v>
      </c>
      <c r="M89" s="6">
        <v>60.5</v>
      </c>
      <c r="N89" s="6">
        <v>44.16</v>
      </c>
      <c r="O89" s="6">
        <v>16.34</v>
      </c>
      <c r="P89" s="6" t="s">
        <v>255</v>
      </c>
    </row>
    <row r="90" spans="1:18" ht="18.5" x14ac:dyDescent="0.45">
      <c r="A90" s="6" t="s">
        <v>102</v>
      </c>
      <c r="B90" s="7">
        <f>DATE(YEAR(SalesData[[#This Row],[Date]]),MONTH(SalesData[[#This Row],[Date]]),1)</f>
        <v>46235</v>
      </c>
      <c r="C90" s="6" t="str">
        <f>TEXT(SalesData[[#This Row],[monthdate]],"mmmm")</f>
        <v>August</v>
      </c>
      <c r="D90" s="7">
        <v>46256</v>
      </c>
      <c r="E90" s="6" t="s">
        <v>194</v>
      </c>
      <c r="F90" s="6" t="s">
        <v>204</v>
      </c>
      <c r="G90" s="6" t="s">
        <v>230</v>
      </c>
      <c r="H90" s="6" t="s">
        <v>240</v>
      </c>
      <c r="I90" s="6" t="s">
        <v>250</v>
      </c>
      <c r="J90" s="6">
        <v>1.5</v>
      </c>
      <c r="K90" s="6">
        <v>2</v>
      </c>
      <c r="L90" s="6">
        <v>0.1</v>
      </c>
      <c r="M90" s="6">
        <v>2.7</v>
      </c>
      <c r="N90" s="6">
        <v>2.34</v>
      </c>
      <c r="O90" s="6">
        <v>0.36</v>
      </c>
      <c r="P90" s="6" t="s">
        <v>254</v>
      </c>
    </row>
    <row r="91" spans="1:18" ht="18.5" x14ac:dyDescent="0.45">
      <c r="A91" s="6" t="s">
        <v>103</v>
      </c>
      <c r="B91" s="7">
        <f>DATE(YEAR(SalesData[[#This Row],[Date]]),MONTH(SalesData[[#This Row],[Date]]),1)</f>
        <v>46143</v>
      </c>
      <c r="C91" s="6" t="str">
        <f>TEXT(SalesData[[#This Row],[monthdate]],"mmmm")</f>
        <v>May</v>
      </c>
      <c r="D91" s="7">
        <v>46152</v>
      </c>
      <c r="E91" s="6" t="s">
        <v>195</v>
      </c>
      <c r="F91" s="6" t="s">
        <v>208</v>
      </c>
      <c r="G91" s="6" t="s">
        <v>235</v>
      </c>
      <c r="H91" s="6" t="s">
        <v>245</v>
      </c>
      <c r="I91" s="6" t="s">
        <v>249</v>
      </c>
      <c r="J91" s="6">
        <v>1.4</v>
      </c>
      <c r="K91" s="6">
        <v>2</v>
      </c>
      <c r="L91" s="6">
        <v>0</v>
      </c>
      <c r="M91" s="6">
        <v>2.8</v>
      </c>
      <c r="N91" s="6">
        <v>1.9</v>
      </c>
      <c r="O91" s="6">
        <v>0.9</v>
      </c>
      <c r="P91" s="6" t="s">
        <v>254</v>
      </c>
      <c r="R91" s="8"/>
    </row>
    <row r="92" spans="1:18" ht="18.5" x14ac:dyDescent="0.45">
      <c r="A92" s="6" t="s">
        <v>104</v>
      </c>
      <c r="B92" s="7">
        <f>DATE(YEAR(SalesData[[#This Row],[Date]]),MONTH(SalesData[[#This Row],[Date]]),1)</f>
        <v>46327</v>
      </c>
      <c r="C92" s="6" t="str">
        <f>TEXT(SalesData[[#This Row],[monthdate]],"mmmm")</f>
        <v>November</v>
      </c>
      <c r="D92" s="7">
        <v>46355</v>
      </c>
      <c r="E92" s="6" t="s">
        <v>197</v>
      </c>
      <c r="F92" s="6" t="s">
        <v>211</v>
      </c>
      <c r="G92" s="6" t="s">
        <v>237</v>
      </c>
      <c r="H92" s="6" t="s">
        <v>247</v>
      </c>
      <c r="I92" s="6" t="s">
        <v>253</v>
      </c>
      <c r="J92" s="6">
        <v>6.5</v>
      </c>
      <c r="K92" s="6">
        <v>8</v>
      </c>
      <c r="L92" s="6">
        <v>0.05</v>
      </c>
      <c r="M92" s="6">
        <v>49.4</v>
      </c>
      <c r="N92" s="6">
        <v>42.64</v>
      </c>
      <c r="O92" s="6">
        <v>6.76</v>
      </c>
      <c r="P92" s="6" t="s">
        <v>255</v>
      </c>
    </row>
    <row r="93" spans="1:18" ht="18.5" x14ac:dyDescent="0.45">
      <c r="A93" s="6" t="s">
        <v>105</v>
      </c>
      <c r="B93" s="7">
        <f>DATE(YEAR(SalesData[[#This Row],[Date]]),MONTH(SalesData[[#This Row],[Date]]),1)</f>
        <v>46023</v>
      </c>
      <c r="C93" s="6" t="str">
        <f>TEXT(SalesData[[#This Row],[monthdate]],"mmmm")</f>
        <v>January</v>
      </c>
      <c r="D93" s="7">
        <v>46046</v>
      </c>
      <c r="E93" s="6" t="s">
        <v>194</v>
      </c>
      <c r="F93" s="6" t="s">
        <v>206</v>
      </c>
      <c r="G93" s="6" t="s">
        <v>236</v>
      </c>
      <c r="H93" s="6" t="s">
        <v>246</v>
      </c>
      <c r="I93" s="6" t="s">
        <v>248</v>
      </c>
      <c r="J93" s="6">
        <v>3.2</v>
      </c>
      <c r="K93" s="6">
        <v>10</v>
      </c>
      <c r="L93" s="6">
        <v>0</v>
      </c>
      <c r="M93" s="6">
        <v>32</v>
      </c>
      <c r="N93" s="6">
        <v>24.32</v>
      </c>
      <c r="O93" s="6">
        <v>7.68</v>
      </c>
      <c r="P93" s="6" t="s">
        <v>254</v>
      </c>
    </row>
    <row r="94" spans="1:18" ht="18.5" x14ac:dyDescent="0.45">
      <c r="A94" s="6" t="s">
        <v>106</v>
      </c>
      <c r="B94" s="7">
        <f>DATE(YEAR(SalesData[[#This Row],[Date]]),MONTH(SalesData[[#This Row],[Date]]),1)</f>
        <v>46143</v>
      </c>
      <c r="C94" s="6" t="str">
        <f>TEXT(SalesData[[#This Row],[monthdate]],"mmmm")</f>
        <v>May</v>
      </c>
      <c r="D94" s="7">
        <v>46153</v>
      </c>
      <c r="E94" s="6" t="s">
        <v>195</v>
      </c>
      <c r="F94" s="6" t="s">
        <v>227</v>
      </c>
      <c r="G94" s="6" t="s">
        <v>228</v>
      </c>
      <c r="H94" s="6" t="s">
        <v>238</v>
      </c>
      <c r="I94" s="6" t="s">
        <v>248</v>
      </c>
      <c r="J94" s="6">
        <v>1.8</v>
      </c>
      <c r="K94" s="6">
        <v>11</v>
      </c>
      <c r="L94" s="6">
        <v>0</v>
      </c>
      <c r="M94" s="6">
        <v>19.8</v>
      </c>
      <c r="N94" s="6">
        <v>14.26</v>
      </c>
      <c r="O94" s="6">
        <v>5.54</v>
      </c>
      <c r="P94" s="6" t="s">
        <v>255</v>
      </c>
      <c r="R94" s="9"/>
    </row>
    <row r="95" spans="1:18" ht="18.5" x14ac:dyDescent="0.45">
      <c r="A95" s="6" t="s">
        <v>107</v>
      </c>
      <c r="B95" s="7">
        <f>DATE(YEAR(SalesData[[#This Row],[Date]]),MONTH(SalesData[[#This Row],[Date]]),1)</f>
        <v>46266</v>
      </c>
      <c r="C95" s="6" t="str">
        <f>TEXT(SalesData[[#This Row],[monthdate]],"mmmm")</f>
        <v>September</v>
      </c>
      <c r="D95" s="7">
        <v>46271</v>
      </c>
      <c r="E95" s="6" t="s">
        <v>195</v>
      </c>
      <c r="F95" s="6" t="s">
        <v>204</v>
      </c>
      <c r="G95" s="6" t="s">
        <v>230</v>
      </c>
      <c r="H95" s="6" t="s">
        <v>240</v>
      </c>
      <c r="I95" s="6" t="s">
        <v>250</v>
      </c>
      <c r="J95" s="6">
        <v>1.5</v>
      </c>
      <c r="K95" s="6">
        <v>5</v>
      </c>
      <c r="L95" s="6">
        <v>0</v>
      </c>
      <c r="M95" s="6">
        <v>7.5</v>
      </c>
      <c r="N95" s="6">
        <v>5.85</v>
      </c>
      <c r="O95" s="6">
        <v>1.65</v>
      </c>
      <c r="P95" s="6" t="s">
        <v>255</v>
      </c>
    </row>
    <row r="96" spans="1:18" ht="31" x14ac:dyDescent="0.45">
      <c r="A96" s="6" t="s">
        <v>108</v>
      </c>
      <c r="B96" s="7">
        <f>DATE(YEAR(SalesData[[#This Row],[Date]]),MONTH(SalesData[[#This Row],[Date]]),1)</f>
        <v>46357</v>
      </c>
      <c r="C96" s="6" t="str">
        <f>TEXT(SalesData[[#This Row],[monthdate]],"mmmm")</f>
        <v>December</v>
      </c>
      <c r="D96" s="7">
        <v>46385</v>
      </c>
      <c r="E96" s="6" t="s">
        <v>197</v>
      </c>
      <c r="F96" s="6" t="s">
        <v>209</v>
      </c>
      <c r="G96" s="6" t="s">
        <v>236</v>
      </c>
      <c r="H96" s="6" t="s">
        <v>246</v>
      </c>
      <c r="I96" s="6" t="s">
        <v>248</v>
      </c>
      <c r="J96" s="6">
        <v>3.2</v>
      </c>
      <c r="K96" s="6">
        <v>9</v>
      </c>
      <c r="L96" s="6">
        <v>0</v>
      </c>
      <c r="M96" s="6">
        <v>28.8</v>
      </c>
      <c r="N96" s="6">
        <v>21.89</v>
      </c>
      <c r="O96" s="6">
        <v>6.91</v>
      </c>
      <c r="P96" s="6" t="s">
        <v>255</v>
      </c>
      <c r="R96" s="10"/>
    </row>
    <row r="97" spans="1:18" ht="18.5" x14ac:dyDescent="0.45">
      <c r="A97" s="6" t="s">
        <v>109</v>
      </c>
      <c r="B97" s="7">
        <f>DATE(YEAR(SalesData[[#This Row],[Date]]),MONTH(SalesData[[#This Row],[Date]]),1)</f>
        <v>46296</v>
      </c>
      <c r="C97" s="6" t="str">
        <f>TEXT(SalesData[[#This Row],[monthdate]],"mmmm")</f>
        <v>October</v>
      </c>
      <c r="D97" s="7">
        <v>46304</v>
      </c>
      <c r="E97" s="6" t="s">
        <v>194</v>
      </c>
      <c r="F97" s="6" t="s">
        <v>223</v>
      </c>
      <c r="G97" s="6" t="s">
        <v>232</v>
      </c>
      <c r="H97" s="6" t="s">
        <v>242</v>
      </c>
      <c r="I97" s="6" t="s">
        <v>251</v>
      </c>
      <c r="J97" s="6">
        <v>1.2</v>
      </c>
      <c r="K97" s="6">
        <v>4</v>
      </c>
      <c r="L97" s="6">
        <v>0</v>
      </c>
      <c r="M97" s="6">
        <v>4.8</v>
      </c>
      <c r="N97" s="6">
        <v>3.6</v>
      </c>
      <c r="O97" s="6">
        <v>1.2</v>
      </c>
      <c r="P97" s="6" t="s">
        <v>255</v>
      </c>
    </row>
    <row r="98" spans="1:18" ht="18.5" x14ac:dyDescent="0.45">
      <c r="A98" s="6" t="s">
        <v>110</v>
      </c>
      <c r="B98" s="7">
        <f>DATE(YEAR(SalesData[[#This Row],[Date]]),MONTH(SalesData[[#This Row],[Date]]),1)</f>
        <v>46143</v>
      </c>
      <c r="C98" s="6" t="str">
        <f>TEXT(SalesData[[#This Row],[monthdate]],"mmmm")</f>
        <v>May</v>
      </c>
      <c r="D98" s="7">
        <v>46171</v>
      </c>
      <c r="E98" s="6" t="s">
        <v>197</v>
      </c>
      <c r="F98" s="6" t="s">
        <v>216</v>
      </c>
      <c r="G98" s="6" t="s">
        <v>230</v>
      </c>
      <c r="H98" s="6" t="s">
        <v>240</v>
      </c>
      <c r="I98" s="6" t="s">
        <v>250</v>
      </c>
      <c r="J98" s="6">
        <v>1.5</v>
      </c>
      <c r="K98" s="6">
        <v>8</v>
      </c>
      <c r="L98" s="6">
        <v>0</v>
      </c>
      <c r="M98" s="6">
        <v>12</v>
      </c>
      <c r="N98" s="6">
        <v>9.36</v>
      </c>
      <c r="O98" s="6">
        <v>2.64</v>
      </c>
      <c r="P98" s="6" t="s">
        <v>255</v>
      </c>
    </row>
    <row r="99" spans="1:18" ht="18.5" x14ac:dyDescent="0.45">
      <c r="A99" s="6" t="s">
        <v>111</v>
      </c>
      <c r="B99" s="7">
        <f>DATE(YEAR(SalesData[[#This Row],[Date]]),MONTH(SalesData[[#This Row],[Date]]),1)</f>
        <v>46113</v>
      </c>
      <c r="C99" s="6" t="str">
        <f>TEXT(SalesData[[#This Row],[monthdate]],"mmmm")</f>
        <v>April</v>
      </c>
      <c r="D99" s="7">
        <v>46130</v>
      </c>
      <c r="E99" s="6" t="s">
        <v>194</v>
      </c>
      <c r="F99" s="6" t="s">
        <v>219</v>
      </c>
      <c r="G99" s="6" t="s">
        <v>237</v>
      </c>
      <c r="H99" s="6" t="s">
        <v>247</v>
      </c>
      <c r="I99" s="6" t="s">
        <v>253</v>
      </c>
      <c r="J99" s="6">
        <v>6.5</v>
      </c>
      <c r="K99" s="6">
        <v>2</v>
      </c>
      <c r="L99" s="6">
        <v>0.1</v>
      </c>
      <c r="M99" s="6">
        <v>11.7</v>
      </c>
      <c r="N99" s="6">
        <v>10.66</v>
      </c>
      <c r="O99" s="6">
        <v>1.04</v>
      </c>
      <c r="P99" s="6" t="s">
        <v>255</v>
      </c>
    </row>
    <row r="100" spans="1:18" ht="18.5" x14ac:dyDescent="0.45">
      <c r="A100" s="6" t="s">
        <v>112</v>
      </c>
      <c r="B100" s="7">
        <f>DATE(YEAR(SalesData[[#This Row],[Date]]),MONTH(SalesData[[#This Row],[Date]]),1)</f>
        <v>46082</v>
      </c>
      <c r="C100" s="6" t="str">
        <f>TEXT(SalesData[[#This Row],[monthdate]],"mmmm")</f>
        <v>March</v>
      </c>
      <c r="D100" s="7">
        <v>46090</v>
      </c>
      <c r="E100" s="6" t="s">
        <v>196</v>
      </c>
      <c r="F100" s="6" t="s">
        <v>218</v>
      </c>
      <c r="G100" s="6" t="s">
        <v>228</v>
      </c>
      <c r="H100" s="6" t="s">
        <v>238</v>
      </c>
      <c r="I100" s="6" t="s">
        <v>248</v>
      </c>
      <c r="J100" s="6">
        <v>1.8</v>
      </c>
      <c r="K100" s="6">
        <v>10</v>
      </c>
      <c r="L100" s="6">
        <v>0.1</v>
      </c>
      <c r="M100" s="6">
        <v>16.2</v>
      </c>
      <c r="N100" s="6">
        <v>12.96</v>
      </c>
      <c r="O100" s="6">
        <v>3.24</v>
      </c>
      <c r="P100" s="6" t="s">
        <v>254</v>
      </c>
      <c r="R100" s="9"/>
    </row>
    <row r="101" spans="1:18" ht="18.5" x14ac:dyDescent="0.45">
      <c r="A101" s="6" t="s">
        <v>113</v>
      </c>
      <c r="B101" s="7">
        <f>DATE(YEAR(SalesData[[#This Row],[Date]]),MONTH(SalesData[[#This Row],[Date]]),1)</f>
        <v>46113</v>
      </c>
      <c r="C101" s="6" t="str">
        <f>TEXT(SalesData[[#This Row],[monthdate]],"mmmm")</f>
        <v>April</v>
      </c>
      <c r="D101" s="7">
        <v>46141</v>
      </c>
      <c r="E101" s="6" t="s">
        <v>197</v>
      </c>
      <c r="F101" s="6" t="s">
        <v>227</v>
      </c>
      <c r="G101" s="6" t="s">
        <v>228</v>
      </c>
      <c r="H101" s="6" t="s">
        <v>238</v>
      </c>
      <c r="I101" s="6" t="s">
        <v>248</v>
      </c>
      <c r="J101" s="6">
        <v>1.8</v>
      </c>
      <c r="K101" s="6">
        <v>8</v>
      </c>
      <c r="L101" s="6">
        <v>0.05</v>
      </c>
      <c r="M101" s="6">
        <v>13.68</v>
      </c>
      <c r="N101" s="6">
        <v>10.37</v>
      </c>
      <c r="O101" s="6">
        <v>3.31</v>
      </c>
      <c r="P101" s="6" t="s">
        <v>254</v>
      </c>
      <c r="R101" s="16"/>
    </row>
    <row r="102" spans="1:18" ht="18.5" x14ac:dyDescent="0.45">
      <c r="A102" s="6" t="s">
        <v>114</v>
      </c>
      <c r="B102" s="7">
        <f>DATE(YEAR(SalesData[[#This Row],[Date]]),MONTH(SalesData[[#This Row],[Date]]),1)</f>
        <v>46266</v>
      </c>
      <c r="C102" s="6" t="str">
        <f>TEXT(SalesData[[#This Row],[monthdate]],"mmmm")</f>
        <v>September</v>
      </c>
      <c r="D102" s="7">
        <v>46274</v>
      </c>
      <c r="E102" s="6" t="s">
        <v>197</v>
      </c>
      <c r="F102" s="6" t="s">
        <v>202</v>
      </c>
      <c r="G102" s="6" t="s">
        <v>230</v>
      </c>
      <c r="H102" s="6" t="s">
        <v>240</v>
      </c>
      <c r="I102" s="6" t="s">
        <v>250</v>
      </c>
      <c r="J102" s="6">
        <v>1.5</v>
      </c>
      <c r="K102" s="6">
        <v>11</v>
      </c>
      <c r="L102" s="6">
        <v>0.05</v>
      </c>
      <c r="M102" s="6">
        <v>15.67</v>
      </c>
      <c r="N102" s="6">
        <v>12.87</v>
      </c>
      <c r="O102" s="6">
        <v>2.8</v>
      </c>
      <c r="P102" s="6" t="s">
        <v>254</v>
      </c>
      <c r="R102" s="16"/>
    </row>
    <row r="103" spans="1:18" ht="18.5" x14ac:dyDescent="0.45">
      <c r="A103" s="6" t="s">
        <v>115</v>
      </c>
      <c r="B103" s="7">
        <f>DATE(YEAR(SalesData[[#This Row],[Date]]),MONTH(SalesData[[#This Row],[Date]]),1)</f>
        <v>46174</v>
      </c>
      <c r="C103" s="6" t="str">
        <f>TEXT(SalesData[[#This Row],[monthdate]],"mmmm")</f>
        <v>June</v>
      </c>
      <c r="D103" s="7">
        <v>46199</v>
      </c>
      <c r="E103" s="6" t="s">
        <v>194</v>
      </c>
      <c r="F103" s="6" t="s">
        <v>198</v>
      </c>
      <c r="G103" s="6" t="s">
        <v>229</v>
      </c>
      <c r="H103" s="6" t="s">
        <v>239</v>
      </c>
      <c r="I103" s="6" t="s">
        <v>249</v>
      </c>
      <c r="J103" s="6">
        <v>2.5</v>
      </c>
      <c r="K103" s="6">
        <v>7</v>
      </c>
      <c r="L103" s="6">
        <v>0</v>
      </c>
      <c r="M103" s="6">
        <v>17.5</v>
      </c>
      <c r="N103" s="6">
        <v>12.25</v>
      </c>
      <c r="O103" s="6">
        <v>5.25</v>
      </c>
      <c r="P103" s="6" t="s">
        <v>255</v>
      </c>
    </row>
    <row r="104" spans="1:18" ht="18.5" x14ac:dyDescent="0.45">
      <c r="A104" s="6" t="s">
        <v>116</v>
      </c>
      <c r="B104" s="7">
        <f>DATE(YEAR(SalesData[[#This Row],[Date]]),MONTH(SalesData[[#This Row],[Date]]),1)</f>
        <v>46174</v>
      </c>
      <c r="C104" s="6" t="str">
        <f>TEXT(SalesData[[#This Row],[monthdate]],"mmmm")</f>
        <v>June</v>
      </c>
      <c r="D104" s="7">
        <v>46189</v>
      </c>
      <c r="E104" s="6" t="s">
        <v>194</v>
      </c>
      <c r="F104" s="6" t="s">
        <v>223</v>
      </c>
      <c r="G104" s="6" t="s">
        <v>230</v>
      </c>
      <c r="H104" s="6" t="s">
        <v>240</v>
      </c>
      <c r="I104" s="6" t="s">
        <v>250</v>
      </c>
      <c r="J104" s="6">
        <v>1.5</v>
      </c>
      <c r="K104" s="6">
        <v>6</v>
      </c>
      <c r="L104" s="6">
        <v>0.05</v>
      </c>
      <c r="M104" s="6">
        <v>8.5500000000000007</v>
      </c>
      <c r="N104" s="6">
        <v>7.02</v>
      </c>
      <c r="O104" s="6">
        <v>1.53</v>
      </c>
      <c r="P104" s="6" t="s">
        <v>254</v>
      </c>
      <c r="R104" s="9"/>
    </row>
    <row r="105" spans="1:18" ht="18.5" x14ac:dyDescent="0.45">
      <c r="A105" s="6" t="s">
        <v>117</v>
      </c>
      <c r="B105" s="7">
        <f>DATE(YEAR(SalesData[[#This Row],[Date]]),MONTH(SalesData[[#This Row],[Date]]),1)</f>
        <v>46143</v>
      </c>
      <c r="C105" s="6" t="str">
        <f>TEXT(SalesData[[#This Row],[monthdate]],"mmmm")</f>
        <v>May</v>
      </c>
      <c r="D105" s="7">
        <v>46171</v>
      </c>
      <c r="E105" s="6" t="s">
        <v>194</v>
      </c>
      <c r="F105" s="6" t="s">
        <v>222</v>
      </c>
      <c r="G105" s="6" t="s">
        <v>230</v>
      </c>
      <c r="H105" s="6" t="s">
        <v>240</v>
      </c>
      <c r="I105" s="6" t="s">
        <v>250</v>
      </c>
      <c r="J105" s="6">
        <v>1.5</v>
      </c>
      <c r="K105" s="6">
        <v>5</v>
      </c>
      <c r="L105" s="6">
        <v>0</v>
      </c>
      <c r="M105" s="6">
        <v>7.5</v>
      </c>
      <c r="N105" s="6">
        <v>5.85</v>
      </c>
      <c r="O105" s="6">
        <v>1.65</v>
      </c>
      <c r="P105" s="6" t="s">
        <v>255</v>
      </c>
      <c r="R105" s="16"/>
    </row>
    <row r="106" spans="1:18" ht="18.5" x14ac:dyDescent="0.45">
      <c r="A106" s="6" t="s">
        <v>118</v>
      </c>
      <c r="B106" s="7">
        <f>DATE(YEAR(SalesData[[#This Row],[Date]]),MONTH(SalesData[[#This Row],[Date]]),1)</f>
        <v>46054</v>
      </c>
      <c r="C106" s="6" t="str">
        <f>TEXT(SalesData[[#This Row],[monthdate]],"mmmm")</f>
        <v>February</v>
      </c>
      <c r="D106" s="7">
        <v>46062</v>
      </c>
      <c r="E106" s="6" t="s">
        <v>196</v>
      </c>
      <c r="F106" s="6" t="s">
        <v>221</v>
      </c>
      <c r="G106" s="6" t="s">
        <v>233</v>
      </c>
      <c r="H106" s="6" t="s">
        <v>243</v>
      </c>
      <c r="I106" s="6" t="s">
        <v>252</v>
      </c>
      <c r="J106" s="6">
        <v>3.8</v>
      </c>
      <c r="K106" s="6">
        <v>6</v>
      </c>
      <c r="L106" s="6">
        <v>0.05</v>
      </c>
      <c r="M106" s="6">
        <v>21.66</v>
      </c>
      <c r="N106" s="6">
        <v>16.190000000000001</v>
      </c>
      <c r="O106" s="6">
        <v>5.47</v>
      </c>
      <c r="P106" s="6" t="s">
        <v>254</v>
      </c>
      <c r="R106" s="16"/>
    </row>
    <row r="107" spans="1:18" ht="18.5" x14ac:dyDescent="0.45">
      <c r="A107" s="6" t="s">
        <v>119</v>
      </c>
      <c r="B107" s="7">
        <f>DATE(YEAR(SalesData[[#This Row],[Date]]),MONTH(SalesData[[#This Row],[Date]]),1)</f>
        <v>46054</v>
      </c>
      <c r="C107" s="6" t="str">
        <f>TEXT(SalesData[[#This Row],[monthdate]],"mmmm")</f>
        <v>February</v>
      </c>
      <c r="D107" s="7">
        <v>46075</v>
      </c>
      <c r="E107" s="6" t="s">
        <v>195</v>
      </c>
      <c r="F107" s="6" t="s">
        <v>225</v>
      </c>
      <c r="G107" s="6" t="s">
        <v>236</v>
      </c>
      <c r="H107" s="6" t="s">
        <v>246</v>
      </c>
      <c r="I107" s="6" t="s">
        <v>248</v>
      </c>
      <c r="J107" s="6">
        <v>3.2</v>
      </c>
      <c r="K107" s="6">
        <v>1</v>
      </c>
      <c r="L107" s="6">
        <v>0</v>
      </c>
      <c r="M107" s="6">
        <v>3.2</v>
      </c>
      <c r="N107" s="6">
        <v>2.4300000000000002</v>
      </c>
      <c r="O107" s="6">
        <v>0.77</v>
      </c>
      <c r="P107" s="6" t="s">
        <v>255</v>
      </c>
      <c r="R107" s="16"/>
    </row>
    <row r="108" spans="1:18" ht="18.5" x14ac:dyDescent="0.45">
      <c r="A108" s="6" t="s">
        <v>120</v>
      </c>
      <c r="B108" s="7">
        <f>DATE(YEAR(SalesData[[#This Row],[Date]]),MONTH(SalesData[[#This Row],[Date]]),1)</f>
        <v>46266</v>
      </c>
      <c r="C108" s="6" t="str">
        <f>TEXT(SalesData[[#This Row],[monthdate]],"mmmm")</f>
        <v>September</v>
      </c>
      <c r="D108" s="7">
        <v>46284</v>
      </c>
      <c r="E108" s="6" t="s">
        <v>196</v>
      </c>
      <c r="F108" s="6" t="s">
        <v>217</v>
      </c>
      <c r="G108" s="6" t="s">
        <v>229</v>
      </c>
      <c r="H108" s="6" t="s">
        <v>239</v>
      </c>
      <c r="I108" s="6" t="s">
        <v>249</v>
      </c>
      <c r="J108" s="6">
        <v>2.5</v>
      </c>
      <c r="K108" s="6">
        <v>6</v>
      </c>
      <c r="L108" s="6">
        <v>0</v>
      </c>
      <c r="M108" s="6">
        <v>15</v>
      </c>
      <c r="N108" s="6">
        <v>10.5</v>
      </c>
      <c r="O108" s="6">
        <v>4.5</v>
      </c>
      <c r="P108" s="6" t="s">
        <v>255</v>
      </c>
    </row>
    <row r="109" spans="1:18" ht="18.5" x14ac:dyDescent="0.45">
      <c r="A109" s="6" t="s">
        <v>121</v>
      </c>
      <c r="B109" s="7">
        <f>DATE(YEAR(SalesData[[#This Row],[Date]]),MONTH(SalesData[[#This Row],[Date]]),1)</f>
        <v>46327</v>
      </c>
      <c r="C109" s="6" t="str">
        <f>TEXT(SalesData[[#This Row],[monthdate]],"mmmm")</f>
        <v>November</v>
      </c>
      <c r="D109" s="7">
        <v>46346</v>
      </c>
      <c r="E109" s="6" t="s">
        <v>195</v>
      </c>
      <c r="F109" s="6" t="s">
        <v>208</v>
      </c>
      <c r="G109" s="6" t="s">
        <v>230</v>
      </c>
      <c r="H109" s="6" t="s">
        <v>240</v>
      </c>
      <c r="I109" s="6" t="s">
        <v>250</v>
      </c>
      <c r="J109" s="6">
        <v>1.5</v>
      </c>
      <c r="K109" s="6">
        <v>7</v>
      </c>
      <c r="L109" s="6">
        <v>0.1</v>
      </c>
      <c r="M109" s="6">
        <v>9.4499999999999993</v>
      </c>
      <c r="N109" s="6">
        <v>8.19</v>
      </c>
      <c r="O109" s="6">
        <v>1.26</v>
      </c>
      <c r="P109" s="6" t="s">
        <v>254</v>
      </c>
    </row>
    <row r="110" spans="1:18" ht="18.5" x14ac:dyDescent="0.45">
      <c r="A110" s="6" t="s">
        <v>122</v>
      </c>
      <c r="B110" s="7">
        <f>DATE(YEAR(SalesData[[#This Row],[Date]]),MONTH(SalesData[[#This Row],[Date]]),1)</f>
        <v>46204</v>
      </c>
      <c r="C110" s="6" t="str">
        <f>TEXT(SalesData[[#This Row],[monthdate]],"mmmm")</f>
        <v>July</v>
      </c>
      <c r="D110" s="7">
        <v>46233</v>
      </c>
      <c r="E110" s="6" t="s">
        <v>195</v>
      </c>
      <c r="F110" s="6" t="s">
        <v>212</v>
      </c>
      <c r="G110" s="6" t="s">
        <v>230</v>
      </c>
      <c r="H110" s="6" t="s">
        <v>240</v>
      </c>
      <c r="I110" s="6" t="s">
        <v>250</v>
      </c>
      <c r="J110" s="6">
        <v>1.5</v>
      </c>
      <c r="K110" s="6">
        <v>8</v>
      </c>
      <c r="L110" s="6">
        <v>0.1</v>
      </c>
      <c r="M110" s="6">
        <v>10.8</v>
      </c>
      <c r="N110" s="6">
        <v>9.36</v>
      </c>
      <c r="O110" s="6">
        <v>1.44</v>
      </c>
      <c r="P110" s="6" t="s">
        <v>255</v>
      </c>
    </row>
    <row r="111" spans="1:18" ht="18.5" x14ac:dyDescent="0.45">
      <c r="A111" s="6" t="s">
        <v>123</v>
      </c>
      <c r="B111" s="7">
        <f>DATE(YEAR(SalesData[[#This Row],[Date]]),MONTH(SalesData[[#This Row],[Date]]),1)</f>
        <v>46023</v>
      </c>
      <c r="C111" s="6" t="str">
        <f>TEXT(SalesData[[#This Row],[monthdate]],"mmmm")</f>
        <v>January</v>
      </c>
      <c r="D111" s="7">
        <v>46048</v>
      </c>
      <c r="E111" s="6" t="s">
        <v>195</v>
      </c>
      <c r="F111" s="6" t="s">
        <v>207</v>
      </c>
      <c r="G111" s="6" t="s">
        <v>235</v>
      </c>
      <c r="H111" s="6" t="s">
        <v>245</v>
      </c>
      <c r="I111" s="6" t="s">
        <v>249</v>
      </c>
      <c r="J111" s="6">
        <v>1.4</v>
      </c>
      <c r="K111" s="6">
        <v>9</v>
      </c>
      <c r="L111" s="6">
        <v>0</v>
      </c>
      <c r="M111" s="6">
        <v>12.6</v>
      </c>
      <c r="N111" s="6">
        <v>8.57</v>
      </c>
      <c r="O111" s="6">
        <v>4.03</v>
      </c>
      <c r="P111" s="6" t="s">
        <v>255</v>
      </c>
      <c r="R111" s="8"/>
    </row>
    <row r="112" spans="1:18" ht="18.5" x14ac:dyDescent="0.45">
      <c r="A112" s="6" t="s">
        <v>124</v>
      </c>
      <c r="B112" s="7">
        <f>DATE(YEAR(SalesData[[#This Row],[Date]]),MONTH(SalesData[[#This Row],[Date]]),1)</f>
        <v>46143</v>
      </c>
      <c r="C112" s="6" t="str">
        <f>TEXT(SalesData[[#This Row],[monthdate]],"mmmm")</f>
        <v>May</v>
      </c>
      <c r="D112" s="7">
        <v>46167</v>
      </c>
      <c r="E112" s="6" t="s">
        <v>196</v>
      </c>
      <c r="F112" s="6" t="s">
        <v>222</v>
      </c>
      <c r="G112" s="6" t="s">
        <v>228</v>
      </c>
      <c r="H112" s="6" t="s">
        <v>238</v>
      </c>
      <c r="I112" s="6" t="s">
        <v>248</v>
      </c>
      <c r="J112" s="6">
        <v>1.8</v>
      </c>
      <c r="K112" s="6">
        <v>5</v>
      </c>
      <c r="L112" s="6">
        <v>0</v>
      </c>
      <c r="M112" s="6">
        <v>9</v>
      </c>
      <c r="N112" s="6">
        <v>6.48</v>
      </c>
      <c r="O112" s="6">
        <v>2.52</v>
      </c>
      <c r="P112" s="6" t="s">
        <v>254</v>
      </c>
    </row>
    <row r="113" spans="1:18" ht="18.5" x14ac:dyDescent="0.45">
      <c r="A113" s="6" t="s">
        <v>125</v>
      </c>
      <c r="B113" s="7">
        <f>DATE(YEAR(SalesData[[#This Row],[Date]]),MONTH(SalesData[[#This Row],[Date]]),1)</f>
        <v>46266</v>
      </c>
      <c r="C113" s="6" t="str">
        <f>TEXT(SalesData[[#This Row],[monthdate]],"mmmm")</f>
        <v>September</v>
      </c>
      <c r="D113" s="7">
        <v>46270</v>
      </c>
      <c r="E113" s="6" t="s">
        <v>194</v>
      </c>
      <c r="F113" s="6" t="s">
        <v>213</v>
      </c>
      <c r="G113" s="6" t="s">
        <v>236</v>
      </c>
      <c r="H113" s="6" t="s">
        <v>246</v>
      </c>
      <c r="I113" s="6" t="s">
        <v>248</v>
      </c>
      <c r="J113" s="6">
        <v>3.2</v>
      </c>
      <c r="K113" s="6">
        <v>9</v>
      </c>
      <c r="L113" s="6">
        <v>0.05</v>
      </c>
      <c r="M113" s="6">
        <v>27.36</v>
      </c>
      <c r="N113" s="6">
        <v>21.89</v>
      </c>
      <c r="O113" s="6">
        <v>5.47</v>
      </c>
      <c r="P113" s="6" t="s">
        <v>254</v>
      </c>
    </row>
    <row r="114" spans="1:18" ht="18.5" x14ac:dyDescent="0.45">
      <c r="A114" s="6" t="s">
        <v>126</v>
      </c>
      <c r="B114" s="7">
        <f>DATE(YEAR(SalesData[[#This Row],[Date]]),MONTH(SalesData[[#This Row],[Date]]),1)</f>
        <v>46113</v>
      </c>
      <c r="C114" s="6" t="str">
        <f>TEXT(SalesData[[#This Row],[monthdate]],"mmmm")</f>
        <v>April</v>
      </c>
      <c r="D114" s="7">
        <v>46129</v>
      </c>
      <c r="E114" s="6" t="s">
        <v>195</v>
      </c>
      <c r="F114" s="6" t="s">
        <v>209</v>
      </c>
      <c r="G114" s="6" t="s">
        <v>232</v>
      </c>
      <c r="H114" s="6" t="s">
        <v>242</v>
      </c>
      <c r="I114" s="6" t="s">
        <v>251</v>
      </c>
      <c r="J114" s="6">
        <v>1.2</v>
      </c>
      <c r="K114" s="6">
        <v>9</v>
      </c>
      <c r="L114" s="6">
        <v>0.05</v>
      </c>
      <c r="M114" s="6">
        <v>10.26</v>
      </c>
      <c r="N114" s="6">
        <v>8.1</v>
      </c>
      <c r="O114" s="6">
        <v>2.16</v>
      </c>
      <c r="P114" s="6" t="s">
        <v>255</v>
      </c>
    </row>
    <row r="115" spans="1:18" ht="18.5" x14ac:dyDescent="0.45">
      <c r="A115" s="6" t="s">
        <v>127</v>
      </c>
      <c r="B115" s="7">
        <f>DATE(YEAR(SalesData[[#This Row],[Date]]),MONTH(SalesData[[#This Row],[Date]]),1)</f>
        <v>46235</v>
      </c>
      <c r="C115" s="6" t="str">
        <f>TEXT(SalesData[[#This Row],[monthdate]],"mmmm")</f>
        <v>August</v>
      </c>
      <c r="D115" s="7">
        <v>46241</v>
      </c>
      <c r="E115" s="6" t="s">
        <v>195</v>
      </c>
      <c r="F115" s="6" t="s">
        <v>225</v>
      </c>
      <c r="G115" s="6" t="s">
        <v>235</v>
      </c>
      <c r="H115" s="6" t="s">
        <v>245</v>
      </c>
      <c r="I115" s="6" t="s">
        <v>249</v>
      </c>
      <c r="J115" s="6">
        <v>1.4</v>
      </c>
      <c r="K115" s="6">
        <v>3</v>
      </c>
      <c r="L115" s="6">
        <v>0.1</v>
      </c>
      <c r="M115" s="6">
        <v>3.78</v>
      </c>
      <c r="N115" s="6">
        <v>2.86</v>
      </c>
      <c r="O115" s="6">
        <v>0.92</v>
      </c>
      <c r="P115" s="6" t="s">
        <v>254</v>
      </c>
      <c r="R115" s="8"/>
    </row>
    <row r="116" spans="1:18" ht="18.5" x14ac:dyDescent="0.45">
      <c r="A116" s="6" t="s">
        <v>128</v>
      </c>
      <c r="B116" s="7">
        <f>DATE(YEAR(SalesData[[#This Row],[Date]]),MONTH(SalesData[[#This Row],[Date]]),1)</f>
        <v>46174</v>
      </c>
      <c r="C116" s="6" t="str">
        <f>TEXT(SalesData[[#This Row],[monthdate]],"mmmm")</f>
        <v>June</v>
      </c>
      <c r="D116" s="7">
        <v>46198</v>
      </c>
      <c r="E116" s="6" t="s">
        <v>196</v>
      </c>
      <c r="F116" s="6" t="s">
        <v>225</v>
      </c>
      <c r="G116" s="6" t="s">
        <v>231</v>
      </c>
      <c r="H116" s="6" t="s">
        <v>241</v>
      </c>
      <c r="I116" s="6" t="s">
        <v>250</v>
      </c>
      <c r="J116" s="6">
        <v>2.8</v>
      </c>
      <c r="K116" s="6">
        <v>9</v>
      </c>
      <c r="L116" s="6">
        <v>0</v>
      </c>
      <c r="M116" s="6">
        <v>25.2</v>
      </c>
      <c r="N116" s="6">
        <v>20.16</v>
      </c>
      <c r="O116" s="6">
        <v>5.04</v>
      </c>
      <c r="P116" s="6" t="s">
        <v>255</v>
      </c>
    </row>
    <row r="117" spans="1:18" ht="18.5" x14ac:dyDescent="0.45">
      <c r="A117" s="6" t="s">
        <v>129</v>
      </c>
      <c r="B117" s="7">
        <f>DATE(YEAR(SalesData[[#This Row],[Date]]),MONTH(SalesData[[#This Row],[Date]]),1)</f>
        <v>46296</v>
      </c>
      <c r="C117" s="6" t="str">
        <f>TEXT(SalesData[[#This Row],[monthdate]],"mmmm")</f>
        <v>October</v>
      </c>
      <c r="D117" s="7">
        <v>46314</v>
      </c>
      <c r="E117" s="6" t="s">
        <v>197</v>
      </c>
      <c r="F117" s="6" t="s">
        <v>222</v>
      </c>
      <c r="G117" s="6" t="s">
        <v>236</v>
      </c>
      <c r="H117" s="6" t="s">
        <v>246</v>
      </c>
      <c r="I117" s="6" t="s">
        <v>248</v>
      </c>
      <c r="J117" s="6">
        <v>3.2</v>
      </c>
      <c r="K117" s="6">
        <v>4</v>
      </c>
      <c r="L117" s="6">
        <v>0</v>
      </c>
      <c r="M117" s="6">
        <v>12.8</v>
      </c>
      <c r="N117" s="6">
        <v>9.73</v>
      </c>
      <c r="O117" s="6">
        <v>3.07</v>
      </c>
      <c r="P117" s="6" t="s">
        <v>255</v>
      </c>
    </row>
    <row r="118" spans="1:18" ht="18.5" x14ac:dyDescent="0.45">
      <c r="A118" s="6" t="s">
        <v>130</v>
      </c>
      <c r="B118" s="7">
        <f>DATE(YEAR(SalesData[[#This Row],[Date]]),MONTH(SalesData[[#This Row],[Date]]),1)</f>
        <v>46113</v>
      </c>
      <c r="C118" s="6" t="str">
        <f>TEXT(SalesData[[#This Row],[monthdate]],"mmmm")</f>
        <v>April</v>
      </c>
      <c r="D118" s="7">
        <v>46130</v>
      </c>
      <c r="E118" s="6" t="s">
        <v>196</v>
      </c>
      <c r="F118" s="6" t="s">
        <v>215</v>
      </c>
      <c r="G118" s="6" t="s">
        <v>234</v>
      </c>
      <c r="H118" s="6" t="s">
        <v>244</v>
      </c>
      <c r="I118" s="6" t="s">
        <v>252</v>
      </c>
      <c r="J118" s="6">
        <v>5.5</v>
      </c>
      <c r="K118" s="6">
        <v>7</v>
      </c>
      <c r="L118" s="6">
        <v>0</v>
      </c>
      <c r="M118" s="6">
        <v>38.5</v>
      </c>
      <c r="N118" s="6">
        <v>28.1</v>
      </c>
      <c r="O118" s="6">
        <v>10.4</v>
      </c>
      <c r="P118" s="6" t="s">
        <v>254</v>
      </c>
    </row>
    <row r="119" spans="1:18" ht="18.5" x14ac:dyDescent="0.45">
      <c r="A119" s="6" t="s">
        <v>131</v>
      </c>
      <c r="B119" s="7">
        <f>DATE(YEAR(SalesData[[#This Row],[Date]]),MONTH(SalesData[[#This Row],[Date]]),1)</f>
        <v>46143</v>
      </c>
      <c r="C119" s="6" t="str">
        <f>TEXT(SalesData[[#This Row],[monthdate]],"mmmm")</f>
        <v>May</v>
      </c>
      <c r="D119" s="7">
        <v>46165</v>
      </c>
      <c r="E119" s="6" t="s">
        <v>195</v>
      </c>
      <c r="F119" s="6" t="s">
        <v>204</v>
      </c>
      <c r="G119" s="6" t="s">
        <v>235</v>
      </c>
      <c r="H119" s="6" t="s">
        <v>245</v>
      </c>
      <c r="I119" s="6" t="s">
        <v>249</v>
      </c>
      <c r="J119" s="6">
        <v>1.4</v>
      </c>
      <c r="K119" s="6">
        <v>10</v>
      </c>
      <c r="L119" s="6">
        <v>0</v>
      </c>
      <c r="M119" s="6">
        <v>14</v>
      </c>
      <c r="N119" s="6">
        <v>9.52</v>
      </c>
      <c r="O119" s="6">
        <v>4.4800000000000004</v>
      </c>
      <c r="P119" s="6" t="s">
        <v>254</v>
      </c>
      <c r="R119" s="8"/>
    </row>
    <row r="120" spans="1:18" ht="18.5" x14ac:dyDescent="0.45">
      <c r="A120" s="6" t="s">
        <v>132</v>
      </c>
      <c r="B120" s="7">
        <f>DATE(YEAR(SalesData[[#This Row],[Date]]),MONTH(SalesData[[#This Row],[Date]]),1)</f>
        <v>46143</v>
      </c>
      <c r="C120" s="6" t="str">
        <f>TEXT(SalesData[[#This Row],[monthdate]],"mmmm")</f>
        <v>May</v>
      </c>
      <c r="D120" s="7">
        <v>46161</v>
      </c>
      <c r="E120" s="6" t="s">
        <v>197</v>
      </c>
      <c r="F120" s="6" t="s">
        <v>212</v>
      </c>
      <c r="G120" s="6" t="s">
        <v>232</v>
      </c>
      <c r="H120" s="6" t="s">
        <v>242</v>
      </c>
      <c r="I120" s="6" t="s">
        <v>251</v>
      </c>
      <c r="J120" s="6">
        <v>1.2</v>
      </c>
      <c r="K120" s="6">
        <v>4</v>
      </c>
      <c r="L120" s="6">
        <v>0.05</v>
      </c>
      <c r="M120" s="6">
        <v>4.5599999999999996</v>
      </c>
      <c r="N120" s="6">
        <v>3.6</v>
      </c>
      <c r="O120" s="6">
        <v>0.96</v>
      </c>
      <c r="P120" s="6" t="s">
        <v>255</v>
      </c>
    </row>
    <row r="121" spans="1:18" ht="18.5" x14ac:dyDescent="0.45">
      <c r="A121" s="6" t="s">
        <v>133</v>
      </c>
      <c r="B121" s="7">
        <f>DATE(YEAR(SalesData[[#This Row],[Date]]),MONTH(SalesData[[#This Row],[Date]]),1)</f>
        <v>46174</v>
      </c>
      <c r="C121" s="6" t="str">
        <f>TEXT(SalesData[[#This Row],[monthdate]],"mmmm")</f>
        <v>June</v>
      </c>
      <c r="D121" s="7">
        <v>46182</v>
      </c>
      <c r="E121" s="6" t="s">
        <v>194</v>
      </c>
      <c r="F121" s="6" t="s">
        <v>220</v>
      </c>
      <c r="G121" s="6" t="s">
        <v>229</v>
      </c>
      <c r="H121" s="6" t="s">
        <v>239</v>
      </c>
      <c r="I121" s="6" t="s">
        <v>249</v>
      </c>
      <c r="J121" s="6">
        <v>2.5</v>
      </c>
      <c r="K121" s="6">
        <v>1</v>
      </c>
      <c r="L121" s="6">
        <v>0</v>
      </c>
      <c r="M121" s="6">
        <v>2.5</v>
      </c>
      <c r="N121" s="6">
        <v>1.75</v>
      </c>
      <c r="O121" s="6">
        <v>0.75</v>
      </c>
      <c r="P121" s="6" t="s">
        <v>255</v>
      </c>
    </row>
    <row r="122" spans="1:18" ht="18.5" x14ac:dyDescent="0.45">
      <c r="A122" s="6" t="s">
        <v>134</v>
      </c>
      <c r="B122" s="7">
        <f>DATE(YEAR(SalesData[[#This Row],[Date]]),MONTH(SalesData[[#This Row],[Date]]),1)</f>
        <v>46266</v>
      </c>
      <c r="C122" s="6" t="str">
        <f>TEXT(SalesData[[#This Row],[monthdate]],"mmmm")</f>
        <v>September</v>
      </c>
      <c r="D122" s="7">
        <v>46273</v>
      </c>
      <c r="E122" s="6" t="s">
        <v>197</v>
      </c>
      <c r="F122" s="6" t="s">
        <v>223</v>
      </c>
      <c r="G122" s="6" t="s">
        <v>233</v>
      </c>
      <c r="H122" s="6" t="s">
        <v>243</v>
      </c>
      <c r="I122" s="6" t="s">
        <v>252</v>
      </c>
      <c r="J122" s="6">
        <v>3.8</v>
      </c>
      <c r="K122" s="6">
        <v>1</v>
      </c>
      <c r="L122" s="6">
        <v>0</v>
      </c>
      <c r="M122" s="6">
        <v>3.8</v>
      </c>
      <c r="N122" s="6">
        <v>2.7</v>
      </c>
      <c r="O122" s="6">
        <v>1.1000000000000001</v>
      </c>
      <c r="P122" s="6" t="s">
        <v>255</v>
      </c>
    </row>
    <row r="123" spans="1:18" ht="18.5" x14ac:dyDescent="0.45">
      <c r="A123" s="6" t="s">
        <v>135</v>
      </c>
      <c r="B123" s="7">
        <f>DATE(YEAR(SalesData[[#This Row],[Date]]),MONTH(SalesData[[#This Row],[Date]]),1)</f>
        <v>46143</v>
      </c>
      <c r="C123" s="6" t="str">
        <f>TEXT(SalesData[[#This Row],[monthdate]],"mmmm")</f>
        <v>May</v>
      </c>
      <c r="D123" s="7">
        <v>46150</v>
      </c>
      <c r="E123" s="6" t="s">
        <v>195</v>
      </c>
      <c r="F123" s="6" t="s">
        <v>219</v>
      </c>
      <c r="G123" s="6" t="s">
        <v>235</v>
      </c>
      <c r="H123" s="6" t="s">
        <v>245</v>
      </c>
      <c r="I123" s="6" t="s">
        <v>249</v>
      </c>
      <c r="J123" s="6">
        <v>1.4</v>
      </c>
      <c r="K123" s="6">
        <v>2</v>
      </c>
      <c r="L123" s="6">
        <v>0</v>
      </c>
      <c r="M123" s="6">
        <v>2.8</v>
      </c>
      <c r="N123" s="6">
        <v>1.9</v>
      </c>
      <c r="O123" s="6">
        <v>0.9</v>
      </c>
      <c r="P123" s="6" t="s">
        <v>254</v>
      </c>
    </row>
    <row r="124" spans="1:18" ht="18.5" x14ac:dyDescent="0.45">
      <c r="A124" s="6" t="s">
        <v>136</v>
      </c>
      <c r="B124" s="7">
        <f>DATE(YEAR(SalesData[[#This Row],[Date]]),MONTH(SalesData[[#This Row],[Date]]),1)</f>
        <v>46054</v>
      </c>
      <c r="C124" s="6" t="str">
        <f>TEXT(SalesData[[#This Row],[monthdate]],"mmmm")</f>
        <v>February</v>
      </c>
      <c r="D124" s="7">
        <v>46066</v>
      </c>
      <c r="E124" s="6" t="s">
        <v>194</v>
      </c>
      <c r="F124" s="6" t="s">
        <v>217</v>
      </c>
      <c r="G124" s="6" t="s">
        <v>235</v>
      </c>
      <c r="H124" s="6" t="s">
        <v>245</v>
      </c>
      <c r="I124" s="6" t="s">
        <v>249</v>
      </c>
      <c r="J124" s="6">
        <v>1.4</v>
      </c>
      <c r="K124" s="6">
        <v>9</v>
      </c>
      <c r="L124" s="6">
        <v>0</v>
      </c>
      <c r="M124" s="6">
        <v>12.6</v>
      </c>
      <c r="N124" s="6">
        <v>8.57</v>
      </c>
      <c r="O124" s="6">
        <v>4.03</v>
      </c>
      <c r="P124" s="6" t="s">
        <v>254</v>
      </c>
    </row>
    <row r="125" spans="1:18" ht="18.5" x14ac:dyDescent="0.45">
      <c r="A125" s="6" t="s">
        <v>137</v>
      </c>
      <c r="B125" s="7">
        <f>DATE(YEAR(SalesData[[#This Row],[Date]]),MONTH(SalesData[[#This Row],[Date]]),1)</f>
        <v>46296</v>
      </c>
      <c r="C125" s="6" t="str">
        <f>TEXT(SalesData[[#This Row],[monthdate]],"mmmm")</f>
        <v>October</v>
      </c>
      <c r="D125" s="7">
        <v>46314</v>
      </c>
      <c r="E125" s="6" t="s">
        <v>195</v>
      </c>
      <c r="F125" s="6" t="s">
        <v>212</v>
      </c>
      <c r="G125" s="6" t="s">
        <v>237</v>
      </c>
      <c r="H125" s="6" t="s">
        <v>247</v>
      </c>
      <c r="I125" s="6" t="s">
        <v>253</v>
      </c>
      <c r="J125" s="6">
        <v>6.5</v>
      </c>
      <c r="K125" s="6">
        <v>1</v>
      </c>
      <c r="L125" s="6">
        <v>0</v>
      </c>
      <c r="M125" s="6">
        <v>6.5</v>
      </c>
      <c r="N125" s="6">
        <v>5.33</v>
      </c>
      <c r="O125" s="6">
        <v>1.17</v>
      </c>
      <c r="P125" s="6" t="s">
        <v>255</v>
      </c>
    </row>
    <row r="126" spans="1:18" ht="18.5" x14ac:dyDescent="0.45">
      <c r="A126" s="6" t="s">
        <v>138</v>
      </c>
      <c r="B126" s="7">
        <f>DATE(YEAR(SalesData[[#This Row],[Date]]),MONTH(SalesData[[#This Row],[Date]]),1)</f>
        <v>46327</v>
      </c>
      <c r="C126" s="6" t="str">
        <f>TEXT(SalesData[[#This Row],[monthdate]],"mmmm")</f>
        <v>November</v>
      </c>
      <c r="D126" s="7">
        <v>46348</v>
      </c>
      <c r="E126" s="6" t="s">
        <v>194</v>
      </c>
      <c r="F126" s="6" t="s">
        <v>211</v>
      </c>
      <c r="G126" s="6" t="s">
        <v>234</v>
      </c>
      <c r="H126" s="6" t="s">
        <v>244</v>
      </c>
      <c r="I126" s="6" t="s">
        <v>252</v>
      </c>
      <c r="J126" s="6">
        <v>5.5</v>
      </c>
      <c r="K126" s="6">
        <v>7</v>
      </c>
      <c r="L126" s="6">
        <v>0</v>
      </c>
      <c r="M126" s="6">
        <v>38.5</v>
      </c>
      <c r="N126" s="6">
        <v>28.1</v>
      </c>
      <c r="O126" s="6">
        <v>10.4</v>
      </c>
      <c r="P126" s="6" t="s">
        <v>255</v>
      </c>
    </row>
    <row r="127" spans="1:18" ht="18.5" x14ac:dyDescent="0.45">
      <c r="A127" s="6" t="s">
        <v>139</v>
      </c>
      <c r="B127" s="7">
        <f>DATE(YEAR(SalesData[[#This Row],[Date]]),MONTH(SalesData[[#This Row],[Date]]),1)</f>
        <v>46296</v>
      </c>
      <c r="C127" s="6" t="str">
        <f>TEXT(SalesData[[#This Row],[monthdate]],"mmmm")</f>
        <v>October</v>
      </c>
      <c r="D127" s="7">
        <v>46321</v>
      </c>
      <c r="E127" s="6" t="s">
        <v>196</v>
      </c>
      <c r="F127" s="6" t="s">
        <v>225</v>
      </c>
      <c r="G127" s="6" t="s">
        <v>234</v>
      </c>
      <c r="H127" s="6" t="s">
        <v>244</v>
      </c>
      <c r="I127" s="6" t="s">
        <v>252</v>
      </c>
      <c r="J127" s="6">
        <v>5.5</v>
      </c>
      <c r="K127" s="6">
        <v>4</v>
      </c>
      <c r="L127" s="6">
        <v>0.05</v>
      </c>
      <c r="M127" s="6">
        <v>20.9</v>
      </c>
      <c r="N127" s="6">
        <v>16.059999999999999</v>
      </c>
      <c r="O127" s="6">
        <v>4.84</v>
      </c>
      <c r="P127" s="6" t="s">
        <v>254</v>
      </c>
    </row>
    <row r="128" spans="1:18" ht="18.5" x14ac:dyDescent="0.45">
      <c r="A128" s="6" t="s">
        <v>140</v>
      </c>
      <c r="B128" s="7">
        <f>DATE(YEAR(SalesData[[#This Row],[Date]]),MONTH(SalesData[[#This Row],[Date]]),1)</f>
        <v>46296</v>
      </c>
      <c r="C128" s="6" t="str">
        <f>TEXT(SalesData[[#This Row],[monthdate]],"mmmm")</f>
        <v>October</v>
      </c>
      <c r="D128" s="7">
        <v>46298</v>
      </c>
      <c r="E128" s="6" t="s">
        <v>196</v>
      </c>
      <c r="F128" s="6" t="s">
        <v>226</v>
      </c>
      <c r="G128" s="6" t="s">
        <v>230</v>
      </c>
      <c r="H128" s="6" t="s">
        <v>240</v>
      </c>
      <c r="I128" s="6" t="s">
        <v>250</v>
      </c>
      <c r="J128" s="6">
        <v>1.5</v>
      </c>
      <c r="K128" s="6">
        <v>5</v>
      </c>
      <c r="L128" s="6">
        <v>0.05</v>
      </c>
      <c r="M128" s="6">
        <v>7.12</v>
      </c>
      <c r="N128" s="6">
        <v>5.85</v>
      </c>
      <c r="O128" s="6">
        <v>1.27</v>
      </c>
      <c r="P128" s="6" t="s">
        <v>254</v>
      </c>
    </row>
    <row r="129" spans="1:16" ht="18.5" x14ac:dyDescent="0.45">
      <c r="A129" s="6" t="s">
        <v>141</v>
      </c>
      <c r="B129" s="7">
        <f>DATE(YEAR(SalesData[[#This Row],[Date]]),MONTH(SalesData[[#This Row],[Date]]),1)</f>
        <v>46266</v>
      </c>
      <c r="C129" s="6" t="str">
        <f>TEXT(SalesData[[#This Row],[monthdate]],"mmmm")</f>
        <v>September</v>
      </c>
      <c r="D129" s="7">
        <v>46292</v>
      </c>
      <c r="E129" s="6" t="s">
        <v>195</v>
      </c>
      <c r="F129" s="6" t="s">
        <v>227</v>
      </c>
      <c r="G129" s="6" t="s">
        <v>235</v>
      </c>
      <c r="H129" s="6" t="s">
        <v>245</v>
      </c>
      <c r="I129" s="6" t="s">
        <v>249</v>
      </c>
      <c r="J129" s="6">
        <v>1.4</v>
      </c>
      <c r="K129" s="6">
        <v>4</v>
      </c>
      <c r="L129" s="6">
        <v>0.1</v>
      </c>
      <c r="M129" s="6">
        <v>5.04</v>
      </c>
      <c r="N129" s="6">
        <v>3.81</v>
      </c>
      <c r="O129" s="6">
        <v>1.23</v>
      </c>
      <c r="P129" s="6" t="s">
        <v>255</v>
      </c>
    </row>
    <row r="130" spans="1:16" ht="18.5" x14ac:dyDescent="0.45">
      <c r="A130" s="6" t="s">
        <v>142</v>
      </c>
      <c r="B130" s="7">
        <f>DATE(YEAR(SalesData[[#This Row],[Date]]),MONTH(SalesData[[#This Row],[Date]]),1)</f>
        <v>46023</v>
      </c>
      <c r="C130" s="6" t="str">
        <f>TEXT(SalesData[[#This Row],[monthdate]],"mmmm")</f>
        <v>January</v>
      </c>
      <c r="D130" s="7">
        <v>46051</v>
      </c>
      <c r="E130" s="6" t="s">
        <v>197</v>
      </c>
      <c r="F130" s="6" t="s">
        <v>218</v>
      </c>
      <c r="G130" s="6" t="s">
        <v>236</v>
      </c>
      <c r="H130" s="6" t="s">
        <v>246</v>
      </c>
      <c r="I130" s="6" t="s">
        <v>248</v>
      </c>
      <c r="J130" s="6">
        <v>3.2</v>
      </c>
      <c r="K130" s="6">
        <v>1</v>
      </c>
      <c r="L130" s="6">
        <v>0</v>
      </c>
      <c r="M130" s="6">
        <v>3.2</v>
      </c>
      <c r="N130" s="6">
        <v>2.4300000000000002</v>
      </c>
      <c r="O130" s="6">
        <v>0.77</v>
      </c>
      <c r="P130" s="6" t="s">
        <v>255</v>
      </c>
    </row>
    <row r="131" spans="1:16" ht="18.5" x14ac:dyDescent="0.45">
      <c r="A131" s="6" t="s">
        <v>143</v>
      </c>
      <c r="B131" s="7">
        <f>DATE(YEAR(SalesData[[#This Row],[Date]]),MONTH(SalesData[[#This Row],[Date]]),1)</f>
        <v>46143</v>
      </c>
      <c r="C131" s="6" t="str">
        <f>TEXT(SalesData[[#This Row],[monthdate]],"mmmm")</f>
        <v>May</v>
      </c>
      <c r="D131" s="7">
        <v>46154</v>
      </c>
      <c r="E131" s="6" t="s">
        <v>196</v>
      </c>
      <c r="F131" s="6" t="s">
        <v>225</v>
      </c>
      <c r="G131" s="6" t="s">
        <v>232</v>
      </c>
      <c r="H131" s="6" t="s">
        <v>242</v>
      </c>
      <c r="I131" s="6" t="s">
        <v>251</v>
      </c>
      <c r="J131" s="6">
        <v>1.2</v>
      </c>
      <c r="K131" s="6">
        <v>4</v>
      </c>
      <c r="L131" s="6">
        <v>0.05</v>
      </c>
      <c r="M131" s="6">
        <v>4.5599999999999996</v>
      </c>
      <c r="N131" s="6">
        <v>3.6</v>
      </c>
      <c r="O131" s="6">
        <v>0.96</v>
      </c>
      <c r="P131" s="6" t="s">
        <v>255</v>
      </c>
    </row>
    <row r="132" spans="1:16" ht="18.5" x14ac:dyDescent="0.45">
      <c r="A132" s="6" t="s">
        <v>144</v>
      </c>
      <c r="B132" s="7">
        <f>DATE(YEAR(SalesData[[#This Row],[Date]]),MONTH(SalesData[[#This Row],[Date]]),1)</f>
        <v>46357</v>
      </c>
      <c r="C132" s="6" t="str">
        <f>TEXT(SalesData[[#This Row],[monthdate]],"mmmm")</f>
        <v>December</v>
      </c>
      <c r="D132" s="7">
        <v>46379</v>
      </c>
      <c r="E132" s="6" t="s">
        <v>196</v>
      </c>
      <c r="F132" s="6" t="s">
        <v>204</v>
      </c>
      <c r="G132" s="6" t="s">
        <v>230</v>
      </c>
      <c r="H132" s="6" t="s">
        <v>240</v>
      </c>
      <c r="I132" s="6" t="s">
        <v>250</v>
      </c>
      <c r="J132" s="6">
        <v>1.5</v>
      </c>
      <c r="K132" s="6">
        <v>6</v>
      </c>
      <c r="L132" s="6">
        <v>0.05</v>
      </c>
      <c r="M132" s="6">
        <v>8.5500000000000007</v>
      </c>
      <c r="N132" s="6">
        <v>7.02</v>
      </c>
      <c r="O132" s="6">
        <v>1.53</v>
      </c>
      <c r="P132" s="6" t="s">
        <v>255</v>
      </c>
    </row>
    <row r="133" spans="1:16" ht="18.5" x14ac:dyDescent="0.45">
      <c r="A133" s="6" t="s">
        <v>145</v>
      </c>
      <c r="B133" s="7">
        <f>DATE(YEAR(SalesData[[#This Row],[Date]]),MONTH(SalesData[[#This Row],[Date]]),1)</f>
        <v>46023</v>
      </c>
      <c r="C133" s="6" t="str">
        <f>TEXT(SalesData[[#This Row],[monthdate]],"mmmm")</f>
        <v>January</v>
      </c>
      <c r="D133" s="7">
        <v>46026</v>
      </c>
      <c r="E133" s="6" t="s">
        <v>194</v>
      </c>
      <c r="F133" s="6" t="s">
        <v>214</v>
      </c>
      <c r="G133" s="6" t="s">
        <v>237</v>
      </c>
      <c r="H133" s="6" t="s">
        <v>247</v>
      </c>
      <c r="I133" s="6" t="s">
        <v>253</v>
      </c>
      <c r="J133" s="6">
        <v>6.5</v>
      </c>
      <c r="K133" s="6">
        <v>5</v>
      </c>
      <c r="L133" s="6">
        <v>0.1</v>
      </c>
      <c r="M133" s="6">
        <v>29.25</v>
      </c>
      <c r="N133" s="6">
        <v>26.65</v>
      </c>
      <c r="O133" s="6">
        <v>2.6</v>
      </c>
      <c r="P133" s="6" t="s">
        <v>255</v>
      </c>
    </row>
    <row r="134" spans="1:16" ht="18.5" x14ac:dyDescent="0.45">
      <c r="A134" s="6" t="s">
        <v>146</v>
      </c>
      <c r="B134" s="7">
        <f>DATE(YEAR(SalesData[[#This Row],[Date]]),MONTH(SalesData[[#This Row],[Date]]),1)</f>
        <v>46174</v>
      </c>
      <c r="C134" s="6" t="str">
        <f>TEXT(SalesData[[#This Row],[monthdate]],"mmmm")</f>
        <v>June</v>
      </c>
      <c r="D134" s="7">
        <v>46182</v>
      </c>
      <c r="E134" s="6" t="s">
        <v>197</v>
      </c>
      <c r="F134" s="6" t="s">
        <v>225</v>
      </c>
      <c r="G134" s="6" t="s">
        <v>237</v>
      </c>
      <c r="H134" s="6" t="s">
        <v>247</v>
      </c>
      <c r="I134" s="6" t="s">
        <v>253</v>
      </c>
      <c r="J134" s="6">
        <v>6.5</v>
      </c>
      <c r="K134" s="6">
        <v>4</v>
      </c>
      <c r="L134" s="6">
        <v>0</v>
      </c>
      <c r="M134" s="6">
        <v>26</v>
      </c>
      <c r="N134" s="6">
        <v>21.32</v>
      </c>
      <c r="O134" s="6">
        <v>4.68</v>
      </c>
      <c r="P134" s="6" t="s">
        <v>255</v>
      </c>
    </row>
    <row r="135" spans="1:16" ht="18.5" x14ac:dyDescent="0.45">
      <c r="A135" s="6" t="s">
        <v>147</v>
      </c>
      <c r="B135" s="7">
        <f>DATE(YEAR(SalesData[[#This Row],[Date]]),MONTH(SalesData[[#This Row],[Date]]),1)</f>
        <v>46054</v>
      </c>
      <c r="C135" s="6" t="str">
        <f>TEXT(SalesData[[#This Row],[monthdate]],"mmmm")</f>
        <v>February</v>
      </c>
      <c r="D135" s="7">
        <v>46078</v>
      </c>
      <c r="E135" s="6" t="s">
        <v>195</v>
      </c>
      <c r="F135" s="6" t="s">
        <v>218</v>
      </c>
      <c r="G135" s="6" t="s">
        <v>236</v>
      </c>
      <c r="H135" s="6" t="s">
        <v>246</v>
      </c>
      <c r="I135" s="6" t="s">
        <v>248</v>
      </c>
      <c r="J135" s="6">
        <v>3.2</v>
      </c>
      <c r="K135" s="6">
        <v>10</v>
      </c>
      <c r="L135" s="6">
        <v>0.05</v>
      </c>
      <c r="M135" s="6">
        <v>30.4</v>
      </c>
      <c r="N135" s="6">
        <v>24.32</v>
      </c>
      <c r="O135" s="6">
        <v>6.08</v>
      </c>
      <c r="P135" s="6" t="s">
        <v>254</v>
      </c>
    </row>
    <row r="136" spans="1:16" ht="18.5" x14ac:dyDescent="0.45">
      <c r="A136" s="6" t="s">
        <v>148</v>
      </c>
      <c r="B136" s="7">
        <f>DATE(YEAR(SalesData[[#This Row],[Date]]),MONTH(SalesData[[#This Row],[Date]]),1)</f>
        <v>46235</v>
      </c>
      <c r="C136" s="6" t="str">
        <f>TEXT(SalesData[[#This Row],[monthdate]],"mmmm")</f>
        <v>August</v>
      </c>
      <c r="D136" s="7">
        <v>46236</v>
      </c>
      <c r="E136" s="6" t="s">
        <v>195</v>
      </c>
      <c r="F136" s="6" t="s">
        <v>223</v>
      </c>
      <c r="G136" s="6" t="s">
        <v>235</v>
      </c>
      <c r="H136" s="6" t="s">
        <v>245</v>
      </c>
      <c r="I136" s="6" t="s">
        <v>249</v>
      </c>
      <c r="J136" s="6">
        <v>1.4</v>
      </c>
      <c r="K136" s="6">
        <v>11</v>
      </c>
      <c r="L136" s="6">
        <v>0</v>
      </c>
      <c r="M136" s="6">
        <v>15.4</v>
      </c>
      <c r="N136" s="6">
        <v>10.47</v>
      </c>
      <c r="O136" s="6">
        <v>4.93</v>
      </c>
      <c r="P136" s="6" t="s">
        <v>255</v>
      </c>
    </row>
    <row r="137" spans="1:16" ht="18.5" x14ac:dyDescent="0.45">
      <c r="A137" s="6" t="s">
        <v>149</v>
      </c>
      <c r="B137" s="7">
        <f>DATE(YEAR(SalesData[[#This Row],[Date]]),MONTH(SalesData[[#This Row],[Date]]),1)</f>
        <v>46113</v>
      </c>
      <c r="C137" s="6" t="str">
        <f>TEXT(SalesData[[#This Row],[monthdate]],"mmmm")</f>
        <v>April</v>
      </c>
      <c r="D137" s="7">
        <v>46132</v>
      </c>
      <c r="E137" s="6" t="s">
        <v>195</v>
      </c>
      <c r="F137" s="6" t="s">
        <v>220</v>
      </c>
      <c r="G137" s="6" t="s">
        <v>230</v>
      </c>
      <c r="H137" s="6" t="s">
        <v>240</v>
      </c>
      <c r="I137" s="6" t="s">
        <v>250</v>
      </c>
      <c r="J137" s="6">
        <v>1.5</v>
      </c>
      <c r="K137" s="6">
        <v>1</v>
      </c>
      <c r="L137" s="6">
        <v>0.1</v>
      </c>
      <c r="M137" s="6">
        <v>1.35</v>
      </c>
      <c r="N137" s="6">
        <v>1.17</v>
      </c>
      <c r="O137" s="6">
        <v>0.18</v>
      </c>
      <c r="P137" s="6" t="s">
        <v>254</v>
      </c>
    </row>
    <row r="138" spans="1:16" ht="18.5" x14ac:dyDescent="0.45">
      <c r="A138" s="6" t="s">
        <v>150</v>
      </c>
      <c r="B138" s="7">
        <f>DATE(YEAR(SalesData[[#This Row],[Date]]),MONTH(SalesData[[#This Row],[Date]]),1)</f>
        <v>46113</v>
      </c>
      <c r="C138" s="6" t="str">
        <f>TEXT(SalesData[[#This Row],[monthdate]],"mmmm")</f>
        <v>April</v>
      </c>
      <c r="D138" s="7">
        <v>46117</v>
      </c>
      <c r="E138" s="6" t="s">
        <v>196</v>
      </c>
      <c r="F138" s="6" t="s">
        <v>208</v>
      </c>
      <c r="G138" s="6" t="s">
        <v>230</v>
      </c>
      <c r="H138" s="6" t="s">
        <v>240</v>
      </c>
      <c r="I138" s="6" t="s">
        <v>250</v>
      </c>
      <c r="J138" s="6">
        <v>1.5</v>
      </c>
      <c r="K138" s="6">
        <v>7</v>
      </c>
      <c r="L138" s="6">
        <v>0.05</v>
      </c>
      <c r="M138" s="6">
        <v>9.9700000000000006</v>
      </c>
      <c r="N138" s="6">
        <v>8.19</v>
      </c>
      <c r="O138" s="6">
        <v>1.78</v>
      </c>
      <c r="P138" s="6" t="s">
        <v>254</v>
      </c>
    </row>
    <row r="139" spans="1:16" ht="18.5" x14ac:dyDescent="0.45">
      <c r="A139" s="6" t="s">
        <v>151</v>
      </c>
      <c r="B139" s="7">
        <f>DATE(YEAR(SalesData[[#This Row],[Date]]),MONTH(SalesData[[#This Row],[Date]]),1)</f>
        <v>46082</v>
      </c>
      <c r="C139" s="6" t="str">
        <f>TEXT(SalesData[[#This Row],[monthdate]],"mmmm")</f>
        <v>March</v>
      </c>
      <c r="D139" s="7">
        <v>46107</v>
      </c>
      <c r="E139" s="6" t="s">
        <v>195</v>
      </c>
      <c r="F139" s="6" t="s">
        <v>212</v>
      </c>
      <c r="G139" s="6" t="s">
        <v>232</v>
      </c>
      <c r="H139" s="6" t="s">
        <v>242</v>
      </c>
      <c r="I139" s="6" t="s">
        <v>251</v>
      </c>
      <c r="J139" s="6">
        <v>1.2</v>
      </c>
      <c r="K139" s="6">
        <v>6</v>
      </c>
      <c r="L139" s="6">
        <v>0</v>
      </c>
      <c r="M139" s="6">
        <v>7.2</v>
      </c>
      <c r="N139" s="6">
        <v>5.4</v>
      </c>
      <c r="O139" s="6">
        <v>1.8</v>
      </c>
      <c r="P139" s="6" t="s">
        <v>255</v>
      </c>
    </row>
    <row r="140" spans="1:16" ht="18.5" x14ac:dyDescent="0.45">
      <c r="A140" s="6" t="s">
        <v>152</v>
      </c>
      <c r="B140" s="7">
        <f>DATE(YEAR(SalesData[[#This Row],[Date]]),MONTH(SalesData[[#This Row],[Date]]),1)</f>
        <v>46174</v>
      </c>
      <c r="C140" s="6" t="str">
        <f>TEXT(SalesData[[#This Row],[monthdate]],"mmmm")</f>
        <v>June</v>
      </c>
      <c r="D140" s="7">
        <v>46182</v>
      </c>
      <c r="E140" s="6" t="s">
        <v>196</v>
      </c>
      <c r="F140" s="6" t="s">
        <v>226</v>
      </c>
      <c r="G140" s="6" t="s">
        <v>230</v>
      </c>
      <c r="H140" s="6" t="s">
        <v>240</v>
      </c>
      <c r="I140" s="6" t="s">
        <v>250</v>
      </c>
      <c r="J140" s="6">
        <v>1.5</v>
      </c>
      <c r="K140" s="6">
        <v>11</v>
      </c>
      <c r="L140" s="6">
        <v>0.05</v>
      </c>
      <c r="M140" s="6">
        <v>15.67</v>
      </c>
      <c r="N140" s="6">
        <v>12.87</v>
      </c>
      <c r="O140" s="6">
        <v>2.8</v>
      </c>
      <c r="P140" s="6" t="s">
        <v>255</v>
      </c>
    </row>
    <row r="141" spans="1:16" ht="18.5" x14ac:dyDescent="0.45">
      <c r="A141" s="6" t="s">
        <v>153</v>
      </c>
      <c r="B141" s="7">
        <f>DATE(YEAR(SalesData[[#This Row],[Date]]),MONTH(SalesData[[#This Row],[Date]]),1)</f>
        <v>46054</v>
      </c>
      <c r="C141" s="6" t="str">
        <f>TEXT(SalesData[[#This Row],[monthdate]],"mmmm")</f>
        <v>February</v>
      </c>
      <c r="D141" s="7">
        <v>46078</v>
      </c>
      <c r="E141" s="6" t="s">
        <v>196</v>
      </c>
      <c r="F141" s="6" t="s">
        <v>211</v>
      </c>
      <c r="G141" s="6" t="s">
        <v>231</v>
      </c>
      <c r="H141" s="6" t="s">
        <v>241</v>
      </c>
      <c r="I141" s="6" t="s">
        <v>250</v>
      </c>
      <c r="J141" s="6">
        <v>2.8</v>
      </c>
      <c r="K141" s="6">
        <v>1</v>
      </c>
      <c r="L141" s="6">
        <v>0</v>
      </c>
      <c r="M141" s="6">
        <v>2.8</v>
      </c>
      <c r="N141" s="6">
        <v>2.2400000000000002</v>
      </c>
      <c r="O141" s="6">
        <v>0.56000000000000005</v>
      </c>
      <c r="P141" s="6" t="s">
        <v>255</v>
      </c>
    </row>
    <row r="142" spans="1:16" ht="18.5" x14ac:dyDescent="0.45">
      <c r="A142" s="6" t="s">
        <v>154</v>
      </c>
      <c r="B142" s="7">
        <f>DATE(YEAR(SalesData[[#This Row],[Date]]),MONTH(SalesData[[#This Row],[Date]]),1)</f>
        <v>46082</v>
      </c>
      <c r="C142" s="6" t="str">
        <f>TEXT(SalesData[[#This Row],[monthdate]],"mmmm")</f>
        <v>March</v>
      </c>
      <c r="D142" s="7">
        <v>46086</v>
      </c>
      <c r="E142" s="6" t="s">
        <v>197</v>
      </c>
      <c r="F142" s="6" t="s">
        <v>224</v>
      </c>
      <c r="G142" s="6" t="s">
        <v>229</v>
      </c>
      <c r="H142" s="6" t="s">
        <v>239</v>
      </c>
      <c r="I142" s="6" t="s">
        <v>249</v>
      </c>
      <c r="J142" s="6">
        <v>2.5</v>
      </c>
      <c r="K142" s="6">
        <v>9</v>
      </c>
      <c r="L142" s="6">
        <v>0</v>
      </c>
      <c r="M142" s="6">
        <v>22.5</v>
      </c>
      <c r="N142" s="6">
        <v>15.75</v>
      </c>
      <c r="O142" s="6">
        <v>6.75</v>
      </c>
      <c r="P142" s="6" t="s">
        <v>255</v>
      </c>
    </row>
    <row r="143" spans="1:16" ht="18.5" x14ac:dyDescent="0.45">
      <c r="A143" s="6" t="s">
        <v>155</v>
      </c>
      <c r="B143" s="7">
        <f>DATE(YEAR(SalesData[[#This Row],[Date]]),MONTH(SalesData[[#This Row],[Date]]),1)</f>
        <v>46054</v>
      </c>
      <c r="C143" s="6" t="str">
        <f>TEXT(SalesData[[#This Row],[monthdate]],"mmmm")</f>
        <v>February</v>
      </c>
      <c r="D143" s="7">
        <v>46067</v>
      </c>
      <c r="E143" s="6" t="s">
        <v>195</v>
      </c>
      <c r="F143" s="6" t="s">
        <v>224</v>
      </c>
      <c r="G143" s="6" t="s">
        <v>229</v>
      </c>
      <c r="H143" s="6" t="s">
        <v>239</v>
      </c>
      <c r="I143" s="6" t="s">
        <v>249</v>
      </c>
      <c r="J143" s="6">
        <v>2.5</v>
      </c>
      <c r="K143" s="6">
        <v>1</v>
      </c>
      <c r="L143" s="6">
        <v>0.05</v>
      </c>
      <c r="M143" s="6">
        <v>2.38</v>
      </c>
      <c r="N143" s="6">
        <v>1.75</v>
      </c>
      <c r="O143" s="6">
        <v>0.63</v>
      </c>
      <c r="P143" s="6" t="s">
        <v>255</v>
      </c>
    </row>
    <row r="144" spans="1:16" ht="18.5" x14ac:dyDescent="0.45">
      <c r="A144" s="6" t="s">
        <v>156</v>
      </c>
      <c r="B144" s="7">
        <f>DATE(YEAR(SalesData[[#This Row],[Date]]),MONTH(SalesData[[#This Row],[Date]]),1)</f>
        <v>46174</v>
      </c>
      <c r="C144" s="6" t="str">
        <f>TEXT(SalesData[[#This Row],[monthdate]],"mmmm")</f>
        <v>June</v>
      </c>
      <c r="D144" s="7">
        <v>46188</v>
      </c>
      <c r="E144" s="6" t="s">
        <v>194</v>
      </c>
      <c r="F144" s="6" t="s">
        <v>212</v>
      </c>
      <c r="G144" s="6" t="s">
        <v>237</v>
      </c>
      <c r="H144" s="6" t="s">
        <v>247</v>
      </c>
      <c r="I144" s="6" t="s">
        <v>253</v>
      </c>
      <c r="J144" s="6">
        <v>6.5</v>
      </c>
      <c r="K144" s="6">
        <v>6</v>
      </c>
      <c r="L144" s="6">
        <v>0.05</v>
      </c>
      <c r="M144" s="6">
        <v>37.049999999999997</v>
      </c>
      <c r="N144" s="6">
        <v>31.98</v>
      </c>
      <c r="O144" s="6">
        <v>5.07</v>
      </c>
      <c r="P144" s="6" t="s">
        <v>255</v>
      </c>
    </row>
    <row r="145" spans="1:16" ht="18.5" x14ac:dyDescent="0.45">
      <c r="A145" s="6" t="s">
        <v>157</v>
      </c>
      <c r="B145" s="7">
        <f>DATE(YEAR(SalesData[[#This Row],[Date]]),MONTH(SalesData[[#This Row],[Date]]),1)</f>
        <v>46327</v>
      </c>
      <c r="C145" s="6" t="str">
        <f>TEXT(SalesData[[#This Row],[monthdate]],"mmmm")</f>
        <v>November</v>
      </c>
      <c r="D145" s="7">
        <v>46343</v>
      </c>
      <c r="E145" s="6" t="s">
        <v>197</v>
      </c>
      <c r="F145" s="6" t="s">
        <v>199</v>
      </c>
      <c r="G145" s="6" t="s">
        <v>237</v>
      </c>
      <c r="H145" s="6" t="s">
        <v>247</v>
      </c>
      <c r="I145" s="6" t="s">
        <v>253</v>
      </c>
      <c r="J145" s="6">
        <v>6.5</v>
      </c>
      <c r="K145" s="6">
        <v>7</v>
      </c>
      <c r="L145" s="6">
        <v>0</v>
      </c>
      <c r="M145" s="6">
        <v>45.5</v>
      </c>
      <c r="N145" s="6">
        <v>37.31</v>
      </c>
      <c r="O145" s="6">
        <v>8.19</v>
      </c>
      <c r="P145" s="6" t="s">
        <v>255</v>
      </c>
    </row>
    <row r="146" spans="1:16" ht="18.5" x14ac:dyDescent="0.45">
      <c r="A146" s="6" t="s">
        <v>158</v>
      </c>
      <c r="B146" s="7">
        <f>DATE(YEAR(SalesData[[#This Row],[Date]]),MONTH(SalesData[[#This Row],[Date]]),1)</f>
        <v>46054</v>
      </c>
      <c r="C146" s="6" t="str">
        <f>TEXT(SalesData[[#This Row],[monthdate]],"mmmm")</f>
        <v>February</v>
      </c>
      <c r="D146" s="7">
        <v>46054</v>
      </c>
      <c r="E146" s="6" t="s">
        <v>194</v>
      </c>
      <c r="F146" s="6" t="s">
        <v>218</v>
      </c>
      <c r="G146" s="6" t="s">
        <v>232</v>
      </c>
      <c r="H146" s="6" t="s">
        <v>242</v>
      </c>
      <c r="I146" s="6" t="s">
        <v>251</v>
      </c>
      <c r="J146" s="6">
        <v>1.2</v>
      </c>
      <c r="K146" s="6">
        <v>5</v>
      </c>
      <c r="L146" s="6">
        <v>0</v>
      </c>
      <c r="M146" s="6">
        <v>6</v>
      </c>
      <c r="N146" s="6">
        <v>4.5</v>
      </c>
      <c r="O146" s="6">
        <v>1.5</v>
      </c>
      <c r="P146" s="6" t="s">
        <v>255</v>
      </c>
    </row>
    <row r="147" spans="1:16" ht="18.5" x14ac:dyDescent="0.45">
      <c r="A147" s="6" t="s">
        <v>159</v>
      </c>
      <c r="B147" s="7">
        <f>DATE(YEAR(SalesData[[#This Row],[Date]]),MONTH(SalesData[[#This Row],[Date]]),1)</f>
        <v>46143</v>
      </c>
      <c r="C147" s="6" t="str">
        <f>TEXT(SalesData[[#This Row],[monthdate]],"mmmm")</f>
        <v>May</v>
      </c>
      <c r="D147" s="7">
        <v>46162</v>
      </c>
      <c r="E147" s="6" t="s">
        <v>194</v>
      </c>
      <c r="F147" s="6" t="s">
        <v>216</v>
      </c>
      <c r="G147" s="6" t="s">
        <v>228</v>
      </c>
      <c r="H147" s="6" t="s">
        <v>238</v>
      </c>
      <c r="I147" s="6" t="s">
        <v>248</v>
      </c>
      <c r="J147" s="6">
        <v>1.8</v>
      </c>
      <c r="K147" s="6">
        <v>6</v>
      </c>
      <c r="L147" s="6">
        <v>0.1</v>
      </c>
      <c r="M147" s="6">
        <v>9.7200000000000006</v>
      </c>
      <c r="N147" s="6">
        <v>7.78</v>
      </c>
      <c r="O147" s="6">
        <v>1.94</v>
      </c>
      <c r="P147" s="6" t="s">
        <v>255</v>
      </c>
    </row>
    <row r="148" spans="1:16" ht="18.5" x14ac:dyDescent="0.45">
      <c r="A148" s="6" t="s">
        <v>160</v>
      </c>
      <c r="B148" s="7">
        <f>DATE(YEAR(SalesData[[#This Row],[Date]]),MONTH(SalesData[[#This Row],[Date]]),1)</f>
        <v>46174</v>
      </c>
      <c r="C148" s="6" t="str">
        <f>TEXT(SalesData[[#This Row],[monthdate]],"mmmm")</f>
        <v>June</v>
      </c>
      <c r="D148" s="7">
        <v>46175</v>
      </c>
      <c r="E148" s="6" t="s">
        <v>194</v>
      </c>
      <c r="F148" s="6" t="s">
        <v>227</v>
      </c>
      <c r="G148" s="6" t="s">
        <v>236</v>
      </c>
      <c r="H148" s="6" t="s">
        <v>246</v>
      </c>
      <c r="I148" s="6" t="s">
        <v>248</v>
      </c>
      <c r="J148" s="6">
        <v>3.2</v>
      </c>
      <c r="K148" s="6">
        <v>1</v>
      </c>
      <c r="L148" s="6">
        <v>0.1</v>
      </c>
      <c r="M148" s="6">
        <v>2.88</v>
      </c>
      <c r="N148" s="6">
        <v>2.4300000000000002</v>
      </c>
      <c r="O148" s="6">
        <v>0.45</v>
      </c>
      <c r="P148" s="6" t="s">
        <v>254</v>
      </c>
    </row>
    <row r="149" spans="1:16" ht="18.5" x14ac:dyDescent="0.45">
      <c r="A149" s="6" t="s">
        <v>161</v>
      </c>
      <c r="B149" s="7">
        <f>DATE(YEAR(SalesData[[#This Row],[Date]]),MONTH(SalesData[[#This Row],[Date]]),1)</f>
        <v>46266</v>
      </c>
      <c r="C149" s="6" t="str">
        <f>TEXT(SalesData[[#This Row],[monthdate]],"mmmm")</f>
        <v>September</v>
      </c>
      <c r="D149" s="7">
        <v>46266</v>
      </c>
      <c r="E149" s="6" t="s">
        <v>197</v>
      </c>
      <c r="F149" s="6" t="s">
        <v>217</v>
      </c>
      <c r="G149" s="6" t="s">
        <v>232</v>
      </c>
      <c r="H149" s="6" t="s">
        <v>242</v>
      </c>
      <c r="I149" s="6" t="s">
        <v>251</v>
      </c>
      <c r="J149" s="6">
        <v>1.2</v>
      </c>
      <c r="K149" s="6">
        <v>12</v>
      </c>
      <c r="L149" s="6">
        <v>0.05</v>
      </c>
      <c r="M149" s="6">
        <v>13.68</v>
      </c>
      <c r="N149" s="6">
        <v>10.8</v>
      </c>
      <c r="O149" s="6">
        <v>2.88</v>
      </c>
      <c r="P149" s="6" t="s">
        <v>255</v>
      </c>
    </row>
    <row r="150" spans="1:16" ht="18.5" x14ac:dyDescent="0.45">
      <c r="A150" s="6" t="s">
        <v>162</v>
      </c>
      <c r="B150" s="7">
        <f>DATE(YEAR(SalesData[[#This Row],[Date]]),MONTH(SalesData[[#This Row],[Date]]),1)</f>
        <v>46266</v>
      </c>
      <c r="C150" s="6" t="str">
        <f>TEXT(SalesData[[#This Row],[monthdate]],"mmmm")</f>
        <v>September</v>
      </c>
      <c r="D150" s="7">
        <v>46275</v>
      </c>
      <c r="E150" s="6" t="s">
        <v>195</v>
      </c>
      <c r="F150" s="6" t="s">
        <v>227</v>
      </c>
      <c r="G150" s="6" t="s">
        <v>229</v>
      </c>
      <c r="H150" s="6" t="s">
        <v>239</v>
      </c>
      <c r="I150" s="6" t="s">
        <v>249</v>
      </c>
      <c r="J150" s="6">
        <v>2.5</v>
      </c>
      <c r="K150" s="6">
        <v>3</v>
      </c>
      <c r="L150" s="6">
        <v>0.05</v>
      </c>
      <c r="M150" s="6">
        <v>7.12</v>
      </c>
      <c r="N150" s="6">
        <v>5.25</v>
      </c>
      <c r="O150" s="6">
        <v>1.87</v>
      </c>
      <c r="P150" s="6" t="s">
        <v>255</v>
      </c>
    </row>
    <row r="151" spans="1:16" ht="18.5" x14ac:dyDescent="0.45">
      <c r="A151" s="6" t="s">
        <v>163</v>
      </c>
      <c r="B151" s="7">
        <f>DATE(YEAR(SalesData[[#This Row],[Date]]),MONTH(SalesData[[#This Row],[Date]]),1)</f>
        <v>46327</v>
      </c>
      <c r="C151" s="6" t="str">
        <f>TEXT(SalesData[[#This Row],[monthdate]],"mmmm")</f>
        <v>November</v>
      </c>
      <c r="D151" s="7">
        <v>46333</v>
      </c>
      <c r="E151" s="6" t="s">
        <v>196</v>
      </c>
      <c r="F151" s="6" t="s">
        <v>209</v>
      </c>
      <c r="G151" s="6" t="s">
        <v>231</v>
      </c>
      <c r="H151" s="6" t="s">
        <v>241</v>
      </c>
      <c r="I151" s="6" t="s">
        <v>250</v>
      </c>
      <c r="J151" s="6">
        <v>2.8</v>
      </c>
      <c r="K151" s="6">
        <v>4</v>
      </c>
      <c r="L151" s="6">
        <v>0</v>
      </c>
      <c r="M151" s="6">
        <v>11.2</v>
      </c>
      <c r="N151" s="6">
        <v>8.9600000000000009</v>
      </c>
      <c r="O151" s="6">
        <v>2.2400000000000002</v>
      </c>
      <c r="P151" s="6" t="s">
        <v>255</v>
      </c>
    </row>
    <row r="152" spans="1:16" ht="18.5" x14ac:dyDescent="0.45">
      <c r="A152" s="6" t="s">
        <v>164</v>
      </c>
      <c r="B152" s="7">
        <f>DATE(YEAR(SalesData[[#This Row],[Date]]),MONTH(SalesData[[#This Row],[Date]]),1)</f>
        <v>46054</v>
      </c>
      <c r="C152" s="6" t="str">
        <f>TEXT(SalesData[[#This Row],[monthdate]],"mmmm")</f>
        <v>February</v>
      </c>
      <c r="D152" s="7">
        <v>46063</v>
      </c>
      <c r="E152" s="6" t="s">
        <v>197</v>
      </c>
      <c r="F152" s="6" t="s">
        <v>215</v>
      </c>
      <c r="G152" s="6" t="s">
        <v>233</v>
      </c>
      <c r="H152" s="6" t="s">
        <v>243</v>
      </c>
      <c r="I152" s="6" t="s">
        <v>252</v>
      </c>
      <c r="J152" s="6">
        <v>3.8</v>
      </c>
      <c r="K152" s="6">
        <v>9</v>
      </c>
      <c r="L152" s="6">
        <v>0</v>
      </c>
      <c r="M152" s="6">
        <v>34.200000000000003</v>
      </c>
      <c r="N152" s="6">
        <v>24.28</v>
      </c>
      <c r="O152" s="6">
        <v>9.92</v>
      </c>
      <c r="P152" s="6" t="s">
        <v>254</v>
      </c>
    </row>
    <row r="153" spans="1:16" ht="18.5" x14ac:dyDescent="0.45">
      <c r="A153" s="6" t="s">
        <v>165</v>
      </c>
      <c r="B153" s="7">
        <f>DATE(YEAR(SalesData[[#This Row],[Date]]),MONTH(SalesData[[#This Row],[Date]]),1)</f>
        <v>46204</v>
      </c>
      <c r="C153" s="6" t="str">
        <f>TEXT(SalesData[[#This Row],[monthdate]],"mmmm")</f>
        <v>July</v>
      </c>
      <c r="D153" s="7">
        <v>46231</v>
      </c>
      <c r="E153" s="6" t="s">
        <v>197</v>
      </c>
      <c r="F153" s="6" t="s">
        <v>200</v>
      </c>
      <c r="G153" s="6" t="s">
        <v>237</v>
      </c>
      <c r="H153" s="6" t="s">
        <v>247</v>
      </c>
      <c r="I153" s="6" t="s">
        <v>253</v>
      </c>
      <c r="J153" s="6">
        <v>6.5</v>
      </c>
      <c r="K153" s="6">
        <v>2</v>
      </c>
      <c r="L153" s="6">
        <v>0</v>
      </c>
      <c r="M153" s="6">
        <v>13</v>
      </c>
      <c r="N153" s="6">
        <v>10.66</v>
      </c>
      <c r="O153" s="6">
        <v>2.34</v>
      </c>
      <c r="P153" s="6" t="s">
        <v>255</v>
      </c>
    </row>
    <row r="154" spans="1:16" ht="18.5" x14ac:dyDescent="0.45">
      <c r="A154" s="6" t="s">
        <v>166</v>
      </c>
      <c r="B154" s="7">
        <f>DATE(YEAR(SalesData[[#This Row],[Date]]),MONTH(SalesData[[#This Row],[Date]]),1)</f>
        <v>46235</v>
      </c>
      <c r="C154" s="6" t="str">
        <f>TEXT(SalesData[[#This Row],[monthdate]],"mmmm")</f>
        <v>August</v>
      </c>
      <c r="D154" s="7">
        <v>46241</v>
      </c>
      <c r="E154" s="6" t="s">
        <v>196</v>
      </c>
      <c r="F154" s="6" t="s">
        <v>206</v>
      </c>
      <c r="G154" s="6" t="s">
        <v>231</v>
      </c>
      <c r="H154" s="6" t="s">
        <v>241</v>
      </c>
      <c r="I154" s="6" t="s">
        <v>250</v>
      </c>
      <c r="J154" s="6">
        <v>2.8</v>
      </c>
      <c r="K154" s="6">
        <v>2</v>
      </c>
      <c r="L154" s="6">
        <v>0</v>
      </c>
      <c r="M154" s="6">
        <v>5.6</v>
      </c>
      <c r="N154" s="6">
        <v>4.4800000000000004</v>
      </c>
      <c r="O154" s="6">
        <v>1.1200000000000001</v>
      </c>
      <c r="P154" s="6" t="s">
        <v>254</v>
      </c>
    </row>
    <row r="155" spans="1:16" ht="18.5" x14ac:dyDescent="0.45">
      <c r="A155" s="6" t="s">
        <v>167</v>
      </c>
      <c r="B155" s="7">
        <f>DATE(YEAR(SalesData[[#This Row],[Date]]),MONTH(SalesData[[#This Row],[Date]]),1)</f>
        <v>46054</v>
      </c>
      <c r="C155" s="6" t="str">
        <f>TEXT(SalesData[[#This Row],[monthdate]],"mmmm")</f>
        <v>February</v>
      </c>
      <c r="D155" s="7">
        <v>46072</v>
      </c>
      <c r="E155" s="6" t="s">
        <v>197</v>
      </c>
      <c r="F155" s="6" t="s">
        <v>213</v>
      </c>
      <c r="G155" s="6" t="s">
        <v>237</v>
      </c>
      <c r="H155" s="6" t="s">
        <v>247</v>
      </c>
      <c r="I155" s="6" t="s">
        <v>253</v>
      </c>
      <c r="J155" s="6">
        <v>6.5</v>
      </c>
      <c r="K155" s="6">
        <v>7</v>
      </c>
      <c r="L155" s="6">
        <v>0.05</v>
      </c>
      <c r="M155" s="6">
        <v>43.23</v>
      </c>
      <c r="N155" s="6">
        <v>37.31</v>
      </c>
      <c r="O155" s="6">
        <v>5.92</v>
      </c>
      <c r="P155" s="6" t="s">
        <v>254</v>
      </c>
    </row>
    <row r="156" spans="1:16" ht="18.5" x14ac:dyDescent="0.45">
      <c r="A156" s="6" t="s">
        <v>168</v>
      </c>
      <c r="B156" s="7">
        <f>DATE(YEAR(SalesData[[#This Row],[Date]]),MONTH(SalesData[[#This Row],[Date]]),1)</f>
        <v>46235</v>
      </c>
      <c r="C156" s="6" t="str">
        <f>TEXT(SalesData[[#This Row],[monthdate]],"mmmm")</f>
        <v>August</v>
      </c>
      <c r="D156" s="7">
        <v>46236</v>
      </c>
      <c r="E156" s="6" t="s">
        <v>195</v>
      </c>
      <c r="F156" s="6" t="s">
        <v>208</v>
      </c>
      <c r="G156" s="6" t="s">
        <v>231</v>
      </c>
      <c r="H156" s="6" t="s">
        <v>241</v>
      </c>
      <c r="I156" s="6" t="s">
        <v>250</v>
      </c>
      <c r="J156" s="6">
        <v>2.8</v>
      </c>
      <c r="K156" s="6">
        <v>8</v>
      </c>
      <c r="L156" s="6">
        <v>0.1</v>
      </c>
      <c r="M156" s="6">
        <v>20.16</v>
      </c>
      <c r="N156" s="6">
        <v>17.920000000000002</v>
      </c>
      <c r="O156" s="6">
        <v>2.2400000000000002</v>
      </c>
      <c r="P156" s="6" t="s">
        <v>254</v>
      </c>
    </row>
    <row r="157" spans="1:16" ht="18.5" x14ac:dyDescent="0.45">
      <c r="A157" s="6" t="s">
        <v>169</v>
      </c>
      <c r="B157" s="7">
        <f>DATE(YEAR(SalesData[[#This Row],[Date]]),MONTH(SalesData[[#This Row],[Date]]),1)</f>
        <v>46143</v>
      </c>
      <c r="C157" s="6" t="str">
        <f>TEXT(SalesData[[#This Row],[monthdate]],"mmmm")</f>
        <v>May</v>
      </c>
      <c r="D157" s="7">
        <v>46173</v>
      </c>
      <c r="E157" s="6" t="s">
        <v>196</v>
      </c>
      <c r="F157" s="6" t="s">
        <v>224</v>
      </c>
      <c r="G157" s="6" t="s">
        <v>236</v>
      </c>
      <c r="H157" s="6" t="s">
        <v>246</v>
      </c>
      <c r="I157" s="6" t="s">
        <v>248</v>
      </c>
      <c r="J157" s="6">
        <v>3.2</v>
      </c>
      <c r="K157" s="6">
        <v>5</v>
      </c>
      <c r="L157" s="6">
        <v>0.1</v>
      </c>
      <c r="M157" s="6">
        <v>14.4</v>
      </c>
      <c r="N157" s="6">
        <v>12.16</v>
      </c>
      <c r="O157" s="6">
        <v>2.2400000000000002</v>
      </c>
      <c r="P157" s="6" t="s">
        <v>255</v>
      </c>
    </row>
    <row r="158" spans="1:16" ht="18.5" x14ac:dyDescent="0.45">
      <c r="A158" s="6" t="s">
        <v>170</v>
      </c>
      <c r="B158" s="7">
        <f>DATE(YEAR(SalesData[[#This Row],[Date]]),MONTH(SalesData[[#This Row],[Date]]),1)</f>
        <v>46113</v>
      </c>
      <c r="C158" s="6" t="str">
        <f>TEXT(SalesData[[#This Row],[monthdate]],"mmmm")</f>
        <v>April</v>
      </c>
      <c r="D158" s="7">
        <v>46124</v>
      </c>
      <c r="E158" s="6" t="s">
        <v>195</v>
      </c>
      <c r="F158" s="6" t="s">
        <v>225</v>
      </c>
      <c r="G158" s="6" t="s">
        <v>236</v>
      </c>
      <c r="H158" s="6" t="s">
        <v>246</v>
      </c>
      <c r="I158" s="6" t="s">
        <v>248</v>
      </c>
      <c r="J158" s="6">
        <v>3.2</v>
      </c>
      <c r="K158" s="6">
        <v>8</v>
      </c>
      <c r="L158" s="6">
        <v>0</v>
      </c>
      <c r="M158" s="6">
        <v>25.6</v>
      </c>
      <c r="N158" s="6">
        <v>19.46</v>
      </c>
      <c r="O158" s="6">
        <v>6.14</v>
      </c>
      <c r="P158" s="6" t="s">
        <v>254</v>
      </c>
    </row>
    <row r="159" spans="1:16" ht="18.5" x14ac:dyDescent="0.45">
      <c r="A159" s="6" t="s">
        <v>171</v>
      </c>
      <c r="B159" s="7">
        <f>DATE(YEAR(SalesData[[#This Row],[Date]]),MONTH(SalesData[[#This Row],[Date]]),1)</f>
        <v>46143</v>
      </c>
      <c r="C159" s="6" t="str">
        <f>TEXT(SalesData[[#This Row],[monthdate]],"mmmm")</f>
        <v>May</v>
      </c>
      <c r="D159" s="7">
        <v>46167</v>
      </c>
      <c r="E159" s="6" t="s">
        <v>196</v>
      </c>
      <c r="F159" s="6" t="s">
        <v>211</v>
      </c>
      <c r="G159" s="6" t="s">
        <v>231</v>
      </c>
      <c r="H159" s="6" t="s">
        <v>241</v>
      </c>
      <c r="I159" s="6" t="s">
        <v>250</v>
      </c>
      <c r="J159" s="6">
        <v>2.8</v>
      </c>
      <c r="K159" s="6">
        <v>10</v>
      </c>
      <c r="L159" s="6">
        <v>0</v>
      </c>
      <c r="M159" s="6">
        <v>28</v>
      </c>
      <c r="N159" s="6">
        <v>22.4</v>
      </c>
      <c r="O159" s="6">
        <v>5.6</v>
      </c>
      <c r="P159" s="6" t="s">
        <v>255</v>
      </c>
    </row>
    <row r="160" spans="1:16" ht="18.5" x14ac:dyDescent="0.45">
      <c r="A160" s="6" t="s">
        <v>172</v>
      </c>
      <c r="B160" s="7">
        <f>DATE(YEAR(SalesData[[#This Row],[Date]]),MONTH(SalesData[[#This Row],[Date]]),1)</f>
        <v>46143</v>
      </c>
      <c r="C160" s="6" t="str">
        <f>TEXT(SalesData[[#This Row],[monthdate]],"mmmm")</f>
        <v>May</v>
      </c>
      <c r="D160" s="7">
        <v>46148</v>
      </c>
      <c r="E160" s="6" t="s">
        <v>195</v>
      </c>
      <c r="F160" s="6" t="s">
        <v>212</v>
      </c>
      <c r="G160" s="6" t="s">
        <v>236</v>
      </c>
      <c r="H160" s="6" t="s">
        <v>246</v>
      </c>
      <c r="I160" s="6" t="s">
        <v>248</v>
      </c>
      <c r="J160" s="6">
        <v>3.2</v>
      </c>
      <c r="K160" s="6">
        <v>9</v>
      </c>
      <c r="L160" s="6">
        <v>0.1</v>
      </c>
      <c r="M160" s="6">
        <v>25.92</v>
      </c>
      <c r="N160" s="6">
        <v>21.89</v>
      </c>
      <c r="O160" s="6">
        <v>4.03</v>
      </c>
      <c r="P160" s="6" t="s">
        <v>254</v>
      </c>
    </row>
    <row r="161" spans="1:16" ht="18.5" x14ac:dyDescent="0.45">
      <c r="A161" s="6" t="s">
        <v>173</v>
      </c>
      <c r="B161" s="7">
        <f>DATE(YEAR(SalesData[[#This Row],[Date]]),MONTH(SalesData[[#This Row],[Date]]),1)</f>
        <v>46023</v>
      </c>
      <c r="C161" s="6" t="str">
        <f>TEXT(SalesData[[#This Row],[monthdate]],"mmmm")</f>
        <v>January</v>
      </c>
      <c r="D161" s="7">
        <v>46041</v>
      </c>
      <c r="E161" s="6" t="s">
        <v>197</v>
      </c>
      <c r="F161" s="6" t="s">
        <v>218</v>
      </c>
      <c r="G161" s="6" t="s">
        <v>235</v>
      </c>
      <c r="H161" s="6" t="s">
        <v>245</v>
      </c>
      <c r="I161" s="6" t="s">
        <v>249</v>
      </c>
      <c r="J161" s="6">
        <v>1.4</v>
      </c>
      <c r="K161" s="6">
        <v>2</v>
      </c>
      <c r="L161" s="6">
        <v>0</v>
      </c>
      <c r="M161" s="6">
        <v>2.8</v>
      </c>
      <c r="N161" s="6">
        <v>1.9</v>
      </c>
      <c r="O161" s="6">
        <v>0.9</v>
      </c>
      <c r="P161" s="6" t="s">
        <v>254</v>
      </c>
    </row>
    <row r="162" spans="1:16" ht="18.5" x14ac:dyDescent="0.45">
      <c r="A162" s="6" t="s">
        <v>174</v>
      </c>
      <c r="B162" s="7">
        <f>DATE(YEAR(SalesData[[#This Row],[Date]]),MONTH(SalesData[[#This Row],[Date]]),1)</f>
        <v>46204</v>
      </c>
      <c r="C162" s="6" t="str">
        <f>TEXT(SalesData[[#This Row],[monthdate]],"mmmm")</f>
        <v>July</v>
      </c>
      <c r="D162" s="7">
        <v>46214</v>
      </c>
      <c r="E162" s="6" t="s">
        <v>195</v>
      </c>
      <c r="F162" s="6" t="s">
        <v>203</v>
      </c>
      <c r="G162" s="6" t="s">
        <v>235</v>
      </c>
      <c r="H162" s="6" t="s">
        <v>245</v>
      </c>
      <c r="I162" s="6" t="s">
        <v>249</v>
      </c>
      <c r="J162" s="6">
        <v>1.4</v>
      </c>
      <c r="K162" s="6">
        <v>1</v>
      </c>
      <c r="L162" s="6">
        <v>0</v>
      </c>
      <c r="M162" s="6">
        <v>1.4</v>
      </c>
      <c r="N162" s="6">
        <v>0.95</v>
      </c>
      <c r="O162" s="6">
        <v>0.45</v>
      </c>
      <c r="P162" s="6" t="s">
        <v>254</v>
      </c>
    </row>
    <row r="163" spans="1:16" ht="18.5" x14ac:dyDescent="0.45">
      <c r="A163" s="6" t="s">
        <v>175</v>
      </c>
      <c r="B163" s="7">
        <f>DATE(YEAR(SalesData[[#This Row],[Date]]),MONTH(SalesData[[#This Row],[Date]]),1)</f>
        <v>46327</v>
      </c>
      <c r="C163" s="6" t="str">
        <f>TEXT(SalesData[[#This Row],[monthdate]],"mmmm")</f>
        <v>November</v>
      </c>
      <c r="D163" s="7">
        <v>46330</v>
      </c>
      <c r="E163" s="6" t="s">
        <v>194</v>
      </c>
      <c r="F163" s="6" t="s">
        <v>224</v>
      </c>
      <c r="G163" s="6" t="s">
        <v>237</v>
      </c>
      <c r="H163" s="6" t="s">
        <v>247</v>
      </c>
      <c r="I163" s="6" t="s">
        <v>253</v>
      </c>
      <c r="J163" s="6">
        <v>6.5</v>
      </c>
      <c r="K163" s="6">
        <v>10</v>
      </c>
      <c r="L163" s="6">
        <v>0</v>
      </c>
      <c r="M163" s="6">
        <v>65</v>
      </c>
      <c r="N163" s="6">
        <v>53.3</v>
      </c>
      <c r="O163" s="6">
        <v>11.7</v>
      </c>
      <c r="P163" s="6" t="s">
        <v>254</v>
      </c>
    </row>
    <row r="164" spans="1:16" ht="18.5" x14ac:dyDescent="0.45">
      <c r="A164" s="6" t="s">
        <v>176</v>
      </c>
      <c r="B164" s="7">
        <f>DATE(YEAR(SalesData[[#This Row],[Date]]),MONTH(SalesData[[#This Row],[Date]]),1)</f>
        <v>46327</v>
      </c>
      <c r="C164" s="6" t="str">
        <f>TEXT(SalesData[[#This Row],[monthdate]],"mmmm")</f>
        <v>November</v>
      </c>
      <c r="D164" s="7">
        <v>46331</v>
      </c>
      <c r="E164" s="6" t="s">
        <v>194</v>
      </c>
      <c r="F164" s="6" t="s">
        <v>212</v>
      </c>
      <c r="G164" s="6" t="s">
        <v>235</v>
      </c>
      <c r="H164" s="6" t="s">
        <v>245</v>
      </c>
      <c r="I164" s="6" t="s">
        <v>249</v>
      </c>
      <c r="J164" s="6">
        <v>1.4</v>
      </c>
      <c r="K164" s="6">
        <v>5</v>
      </c>
      <c r="L164" s="6">
        <v>0</v>
      </c>
      <c r="M164" s="6">
        <v>7</v>
      </c>
      <c r="N164" s="6">
        <v>4.76</v>
      </c>
      <c r="O164" s="6">
        <v>2.2400000000000002</v>
      </c>
      <c r="P164" s="6" t="s">
        <v>255</v>
      </c>
    </row>
    <row r="165" spans="1:16" ht="18.5" x14ac:dyDescent="0.45">
      <c r="A165" s="6" t="s">
        <v>177</v>
      </c>
      <c r="B165" s="7">
        <f>DATE(YEAR(SalesData[[#This Row],[Date]]),MONTH(SalesData[[#This Row],[Date]]),1)</f>
        <v>46023</v>
      </c>
      <c r="C165" s="6" t="str">
        <f>TEXT(SalesData[[#This Row],[monthdate]],"mmmm")</f>
        <v>January</v>
      </c>
      <c r="D165" s="7">
        <v>46042</v>
      </c>
      <c r="E165" s="6" t="s">
        <v>195</v>
      </c>
      <c r="F165" s="6" t="s">
        <v>199</v>
      </c>
      <c r="G165" s="6" t="s">
        <v>237</v>
      </c>
      <c r="H165" s="6" t="s">
        <v>247</v>
      </c>
      <c r="I165" s="6" t="s">
        <v>253</v>
      </c>
      <c r="J165" s="6">
        <v>6.5</v>
      </c>
      <c r="K165" s="6">
        <v>6</v>
      </c>
      <c r="L165" s="6">
        <v>0</v>
      </c>
      <c r="M165" s="6">
        <v>39</v>
      </c>
      <c r="N165" s="6">
        <v>31.98</v>
      </c>
      <c r="O165" s="6">
        <v>7.02</v>
      </c>
      <c r="P165" s="6" t="s">
        <v>254</v>
      </c>
    </row>
    <row r="166" spans="1:16" ht="18.5" x14ac:dyDescent="0.45">
      <c r="A166" s="6" t="s">
        <v>178</v>
      </c>
      <c r="B166" s="7">
        <f>DATE(YEAR(SalesData[[#This Row],[Date]]),MONTH(SalesData[[#This Row],[Date]]),1)</f>
        <v>46023</v>
      </c>
      <c r="C166" s="6" t="str">
        <f>TEXT(SalesData[[#This Row],[monthdate]],"mmmm")</f>
        <v>January</v>
      </c>
      <c r="D166" s="7">
        <v>46042</v>
      </c>
      <c r="E166" s="6" t="s">
        <v>194</v>
      </c>
      <c r="F166" s="6" t="s">
        <v>198</v>
      </c>
      <c r="G166" s="6" t="s">
        <v>236</v>
      </c>
      <c r="H166" s="6" t="s">
        <v>246</v>
      </c>
      <c r="I166" s="6" t="s">
        <v>248</v>
      </c>
      <c r="J166" s="6">
        <v>3.2</v>
      </c>
      <c r="K166" s="6">
        <v>10</v>
      </c>
      <c r="L166" s="6">
        <v>0</v>
      </c>
      <c r="M166" s="6">
        <v>32</v>
      </c>
      <c r="N166" s="6">
        <v>24.32</v>
      </c>
      <c r="O166" s="6">
        <v>7.68</v>
      </c>
      <c r="P166" s="6" t="s">
        <v>255</v>
      </c>
    </row>
    <row r="167" spans="1:16" ht="18.5" x14ac:dyDescent="0.45">
      <c r="A167" s="6" t="s">
        <v>179</v>
      </c>
      <c r="B167" s="7">
        <f>DATE(YEAR(SalesData[[#This Row],[Date]]),MONTH(SalesData[[#This Row],[Date]]),1)</f>
        <v>46357</v>
      </c>
      <c r="C167" s="6" t="str">
        <f>TEXT(SalesData[[#This Row],[monthdate]],"mmmm")</f>
        <v>December</v>
      </c>
      <c r="D167" s="7">
        <v>46370</v>
      </c>
      <c r="E167" s="6" t="s">
        <v>196</v>
      </c>
      <c r="F167" s="6" t="s">
        <v>211</v>
      </c>
      <c r="G167" s="6" t="s">
        <v>229</v>
      </c>
      <c r="H167" s="6" t="s">
        <v>239</v>
      </c>
      <c r="I167" s="6" t="s">
        <v>249</v>
      </c>
      <c r="J167" s="6">
        <v>2.5</v>
      </c>
      <c r="K167" s="6">
        <v>6</v>
      </c>
      <c r="L167" s="6">
        <v>0</v>
      </c>
      <c r="M167" s="6">
        <v>15</v>
      </c>
      <c r="N167" s="6">
        <v>10.5</v>
      </c>
      <c r="O167" s="6">
        <v>4.5</v>
      </c>
      <c r="P167" s="6" t="s">
        <v>254</v>
      </c>
    </row>
    <row r="168" spans="1:16" ht="18.5" x14ac:dyDescent="0.45">
      <c r="A168" s="6" t="s">
        <v>180</v>
      </c>
      <c r="B168" s="7">
        <f>DATE(YEAR(SalesData[[#This Row],[Date]]),MONTH(SalesData[[#This Row],[Date]]),1)</f>
        <v>46266</v>
      </c>
      <c r="C168" s="6" t="str">
        <f>TEXT(SalesData[[#This Row],[monthdate]],"mmmm")</f>
        <v>September</v>
      </c>
      <c r="D168" s="7">
        <v>46276</v>
      </c>
      <c r="E168" s="6" t="s">
        <v>194</v>
      </c>
      <c r="F168" s="6" t="s">
        <v>220</v>
      </c>
      <c r="G168" s="6" t="s">
        <v>230</v>
      </c>
      <c r="H168" s="6" t="s">
        <v>240</v>
      </c>
      <c r="I168" s="6" t="s">
        <v>250</v>
      </c>
      <c r="J168" s="6">
        <v>1.5</v>
      </c>
      <c r="K168" s="6">
        <v>9</v>
      </c>
      <c r="L168" s="6">
        <v>0.05</v>
      </c>
      <c r="M168" s="6">
        <v>12.82</v>
      </c>
      <c r="N168" s="6">
        <v>10.53</v>
      </c>
      <c r="O168" s="6">
        <v>2.29</v>
      </c>
      <c r="P168" s="6" t="s">
        <v>254</v>
      </c>
    </row>
    <row r="169" spans="1:16" ht="18.5" x14ac:dyDescent="0.45">
      <c r="A169" s="6" t="s">
        <v>181</v>
      </c>
      <c r="B169" s="7">
        <f>DATE(YEAR(SalesData[[#This Row],[Date]]),MONTH(SalesData[[#This Row],[Date]]),1)</f>
        <v>46357</v>
      </c>
      <c r="C169" s="6" t="str">
        <f>TEXT(SalesData[[#This Row],[monthdate]],"mmmm")</f>
        <v>December</v>
      </c>
      <c r="D169" s="7">
        <v>46362</v>
      </c>
      <c r="E169" s="6" t="s">
        <v>194</v>
      </c>
      <c r="F169" s="6" t="s">
        <v>212</v>
      </c>
      <c r="G169" s="6" t="s">
        <v>229</v>
      </c>
      <c r="H169" s="6" t="s">
        <v>239</v>
      </c>
      <c r="I169" s="6" t="s">
        <v>249</v>
      </c>
      <c r="J169" s="6">
        <v>2.5</v>
      </c>
      <c r="K169" s="6">
        <v>9</v>
      </c>
      <c r="L169" s="6">
        <v>0</v>
      </c>
      <c r="M169" s="6">
        <v>22.5</v>
      </c>
      <c r="N169" s="6">
        <v>15.75</v>
      </c>
      <c r="O169" s="6">
        <v>6.75</v>
      </c>
      <c r="P169" s="6" t="s">
        <v>254</v>
      </c>
    </row>
    <row r="170" spans="1:16" ht="18.5" x14ac:dyDescent="0.45">
      <c r="A170" s="6" t="s">
        <v>182</v>
      </c>
      <c r="B170" s="7">
        <f>DATE(YEAR(SalesData[[#This Row],[Date]]),MONTH(SalesData[[#This Row],[Date]]),1)</f>
        <v>46357</v>
      </c>
      <c r="C170" s="6" t="str">
        <f>TEXT(SalesData[[#This Row],[monthdate]],"mmmm")</f>
        <v>December</v>
      </c>
      <c r="D170" s="7">
        <v>46379</v>
      </c>
      <c r="E170" s="6" t="s">
        <v>196</v>
      </c>
      <c r="F170" s="6" t="s">
        <v>204</v>
      </c>
      <c r="G170" s="6" t="s">
        <v>229</v>
      </c>
      <c r="H170" s="6" t="s">
        <v>239</v>
      </c>
      <c r="I170" s="6" t="s">
        <v>249</v>
      </c>
      <c r="J170" s="6">
        <v>2.5</v>
      </c>
      <c r="K170" s="6">
        <v>5</v>
      </c>
      <c r="L170" s="6">
        <v>0.05</v>
      </c>
      <c r="M170" s="6">
        <v>11.88</v>
      </c>
      <c r="N170" s="6">
        <v>8.75</v>
      </c>
      <c r="O170" s="6">
        <v>3.13</v>
      </c>
      <c r="P170" s="6" t="s">
        <v>255</v>
      </c>
    </row>
    <row r="171" spans="1:16" ht="18.5" x14ac:dyDescent="0.45">
      <c r="A171" s="6" t="s">
        <v>183</v>
      </c>
      <c r="B171" s="7">
        <f>DATE(YEAR(SalesData[[#This Row],[Date]]),MONTH(SalesData[[#This Row],[Date]]),1)</f>
        <v>46023</v>
      </c>
      <c r="C171" s="6" t="str">
        <f>TEXT(SalesData[[#This Row],[monthdate]],"mmmm")</f>
        <v>January</v>
      </c>
      <c r="D171" s="7">
        <v>46049</v>
      </c>
      <c r="E171" s="6" t="s">
        <v>196</v>
      </c>
      <c r="F171" s="6" t="s">
        <v>220</v>
      </c>
      <c r="G171" s="6" t="s">
        <v>229</v>
      </c>
      <c r="H171" s="6" t="s">
        <v>239</v>
      </c>
      <c r="I171" s="6" t="s">
        <v>249</v>
      </c>
      <c r="J171" s="6">
        <v>2.5</v>
      </c>
      <c r="K171" s="6">
        <v>5</v>
      </c>
      <c r="L171" s="6">
        <v>0.1</v>
      </c>
      <c r="M171" s="6">
        <v>11.25</v>
      </c>
      <c r="N171" s="6">
        <v>8.75</v>
      </c>
      <c r="O171" s="6">
        <v>2.5</v>
      </c>
      <c r="P171" s="6" t="s">
        <v>255</v>
      </c>
    </row>
    <row r="172" spans="1:16" ht="18.5" x14ac:dyDescent="0.45">
      <c r="A172" s="6" t="s">
        <v>184</v>
      </c>
      <c r="B172" s="7">
        <f>DATE(YEAR(SalesData[[#This Row],[Date]]),MONTH(SalesData[[#This Row],[Date]]),1)</f>
        <v>46204</v>
      </c>
      <c r="C172" s="6" t="str">
        <f>TEXT(SalesData[[#This Row],[monthdate]],"mmmm")</f>
        <v>July</v>
      </c>
      <c r="D172" s="7">
        <v>46209</v>
      </c>
      <c r="E172" s="6" t="s">
        <v>197</v>
      </c>
      <c r="F172" s="6" t="s">
        <v>208</v>
      </c>
      <c r="G172" s="6" t="s">
        <v>230</v>
      </c>
      <c r="H172" s="6" t="s">
        <v>240</v>
      </c>
      <c r="I172" s="6" t="s">
        <v>250</v>
      </c>
      <c r="J172" s="6">
        <v>1.5</v>
      </c>
      <c r="K172" s="6">
        <v>11</v>
      </c>
      <c r="L172" s="6">
        <v>0</v>
      </c>
      <c r="M172" s="6">
        <v>16.5</v>
      </c>
      <c r="N172" s="6">
        <v>12.87</v>
      </c>
      <c r="O172" s="6">
        <v>3.63</v>
      </c>
      <c r="P172" s="6" t="s">
        <v>255</v>
      </c>
    </row>
    <row r="173" spans="1:16" ht="18.5" x14ac:dyDescent="0.45">
      <c r="A173" s="6" t="s">
        <v>185</v>
      </c>
      <c r="B173" s="7">
        <f>DATE(YEAR(SalesData[[#This Row],[Date]]),MONTH(SalesData[[#This Row],[Date]]),1)</f>
        <v>46023</v>
      </c>
      <c r="C173" s="6" t="str">
        <f>TEXT(SalesData[[#This Row],[monthdate]],"mmmm")</f>
        <v>January</v>
      </c>
      <c r="D173" s="7">
        <v>46026</v>
      </c>
      <c r="E173" s="6" t="s">
        <v>197</v>
      </c>
      <c r="F173" s="6" t="s">
        <v>203</v>
      </c>
      <c r="G173" s="6" t="s">
        <v>237</v>
      </c>
      <c r="H173" s="6" t="s">
        <v>247</v>
      </c>
      <c r="I173" s="6" t="s">
        <v>253</v>
      </c>
      <c r="J173" s="6">
        <v>6.5</v>
      </c>
      <c r="K173" s="6">
        <v>7</v>
      </c>
      <c r="L173" s="6">
        <v>0</v>
      </c>
      <c r="M173" s="6">
        <v>45.5</v>
      </c>
      <c r="N173" s="6">
        <v>37.31</v>
      </c>
      <c r="O173" s="6">
        <v>8.19</v>
      </c>
      <c r="P173" s="6" t="s">
        <v>254</v>
      </c>
    </row>
    <row r="174" spans="1:16" ht="18.5" x14ac:dyDescent="0.45">
      <c r="A174" s="6" t="s">
        <v>186</v>
      </c>
      <c r="B174" s="7">
        <f>DATE(YEAR(SalesData[[#This Row],[Date]]),MONTH(SalesData[[#This Row],[Date]]),1)</f>
        <v>46296</v>
      </c>
      <c r="C174" s="6" t="str">
        <f>TEXT(SalesData[[#This Row],[monthdate]],"mmmm")</f>
        <v>October</v>
      </c>
      <c r="D174" s="7">
        <v>46318</v>
      </c>
      <c r="E174" s="6" t="s">
        <v>195</v>
      </c>
      <c r="F174" s="6" t="s">
        <v>219</v>
      </c>
      <c r="G174" s="6" t="s">
        <v>229</v>
      </c>
      <c r="H174" s="6" t="s">
        <v>239</v>
      </c>
      <c r="I174" s="6" t="s">
        <v>249</v>
      </c>
      <c r="J174" s="6">
        <v>2.5</v>
      </c>
      <c r="K174" s="6">
        <v>6</v>
      </c>
      <c r="L174" s="6">
        <v>0.05</v>
      </c>
      <c r="M174" s="6">
        <v>14.25</v>
      </c>
      <c r="N174" s="6">
        <v>10.5</v>
      </c>
      <c r="O174" s="6">
        <v>3.75</v>
      </c>
      <c r="P174" s="6" t="s">
        <v>254</v>
      </c>
    </row>
    <row r="175" spans="1:16" ht="18.5" x14ac:dyDescent="0.45">
      <c r="A175" s="6" t="s">
        <v>187</v>
      </c>
      <c r="B175" s="7">
        <f>DATE(YEAR(SalesData[[#This Row],[Date]]),MONTH(SalesData[[#This Row],[Date]]),1)</f>
        <v>46296</v>
      </c>
      <c r="C175" s="6" t="str">
        <f>TEXT(SalesData[[#This Row],[monthdate]],"mmmm")</f>
        <v>October</v>
      </c>
      <c r="D175" s="7">
        <v>46305</v>
      </c>
      <c r="E175" s="6" t="s">
        <v>194</v>
      </c>
      <c r="F175" s="6" t="s">
        <v>201</v>
      </c>
      <c r="G175" s="6" t="s">
        <v>230</v>
      </c>
      <c r="H175" s="6" t="s">
        <v>240</v>
      </c>
      <c r="I175" s="6" t="s">
        <v>250</v>
      </c>
      <c r="J175" s="6">
        <v>1.5</v>
      </c>
      <c r="K175" s="6">
        <v>3</v>
      </c>
      <c r="L175" s="6">
        <v>0.05</v>
      </c>
      <c r="M175" s="6">
        <v>4.2699999999999996</v>
      </c>
      <c r="N175" s="6">
        <v>3.51</v>
      </c>
      <c r="O175" s="6">
        <v>0.76</v>
      </c>
      <c r="P175" s="6" t="s">
        <v>255</v>
      </c>
    </row>
    <row r="176" spans="1:16" ht="18.5" x14ac:dyDescent="0.45">
      <c r="A176" s="6" t="s">
        <v>188</v>
      </c>
      <c r="B176" s="7">
        <f>DATE(YEAR(SalesData[[#This Row],[Date]]),MONTH(SalesData[[#This Row],[Date]]),1)</f>
        <v>46082</v>
      </c>
      <c r="C176" s="6" t="str">
        <f>TEXT(SalesData[[#This Row],[monthdate]],"mmmm")</f>
        <v>March</v>
      </c>
      <c r="D176" s="7">
        <v>46110</v>
      </c>
      <c r="E176" s="6" t="s">
        <v>196</v>
      </c>
      <c r="F176" s="6" t="s">
        <v>213</v>
      </c>
      <c r="G176" s="6" t="s">
        <v>234</v>
      </c>
      <c r="H176" s="6" t="s">
        <v>244</v>
      </c>
      <c r="I176" s="6" t="s">
        <v>252</v>
      </c>
      <c r="J176" s="6">
        <v>5.5</v>
      </c>
      <c r="K176" s="6">
        <v>3</v>
      </c>
      <c r="L176" s="6">
        <v>0</v>
      </c>
      <c r="M176" s="6">
        <v>16.5</v>
      </c>
      <c r="N176" s="6">
        <v>12.04</v>
      </c>
      <c r="O176" s="6">
        <v>4.46</v>
      </c>
      <c r="P176" s="6" t="s">
        <v>254</v>
      </c>
    </row>
    <row r="177" spans="1:16" ht="18.5" x14ac:dyDescent="0.45">
      <c r="A177" s="6" t="s">
        <v>189</v>
      </c>
      <c r="B177" s="7">
        <f>DATE(YEAR(SalesData[[#This Row],[Date]]),MONTH(SalesData[[#This Row],[Date]]),1)</f>
        <v>46054</v>
      </c>
      <c r="C177" s="6" t="str">
        <f>TEXT(SalesData[[#This Row],[monthdate]],"mmmm")</f>
        <v>February</v>
      </c>
      <c r="D177" s="7">
        <v>46078</v>
      </c>
      <c r="E177" s="6" t="s">
        <v>195</v>
      </c>
      <c r="F177" s="6" t="s">
        <v>202</v>
      </c>
      <c r="G177" s="6" t="s">
        <v>232</v>
      </c>
      <c r="H177" s="6" t="s">
        <v>242</v>
      </c>
      <c r="I177" s="6" t="s">
        <v>251</v>
      </c>
      <c r="J177" s="6">
        <v>1.2</v>
      </c>
      <c r="K177" s="6">
        <v>7</v>
      </c>
      <c r="L177" s="6">
        <v>0.05</v>
      </c>
      <c r="M177" s="6">
        <v>7.98</v>
      </c>
      <c r="N177" s="6">
        <v>6.3</v>
      </c>
      <c r="O177" s="6">
        <v>1.68</v>
      </c>
      <c r="P177" s="6" t="s">
        <v>254</v>
      </c>
    </row>
    <row r="178" spans="1:16" ht="18.5" x14ac:dyDescent="0.45">
      <c r="A178" s="6" t="s">
        <v>190</v>
      </c>
      <c r="B178" s="7">
        <f>DATE(YEAR(SalesData[[#This Row],[Date]]),MONTH(SalesData[[#This Row],[Date]]),1)</f>
        <v>46266</v>
      </c>
      <c r="C178" s="6" t="str">
        <f>TEXT(SalesData[[#This Row],[monthdate]],"mmmm")</f>
        <v>September</v>
      </c>
      <c r="D178" s="7">
        <v>46270</v>
      </c>
      <c r="E178" s="6" t="s">
        <v>197</v>
      </c>
      <c r="F178" s="6" t="s">
        <v>211</v>
      </c>
      <c r="G178" s="6" t="s">
        <v>230</v>
      </c>
      <c r="H178" s="6" t="s">
        <v>240</v>
      </c>
      <c r="I178" s="6" t="s">
        <v>250</v>
      </c>
      <c r="J178" s="6">
        <v>1.5</v>
      </c>
      <c r="K178" s="6">
        <v>6</v>
      </c>
      <c r="L178" s="6">
        <v>0</v>
      </c>
      <c r="M178" s="6">
        <v>9</v>
      </c>
      <c r="N178" s="6">
        <v>7.02</v>
      </c>
      <c r="O178" s="6">
        <v>1.98</v>
      </c>
      <c r="P178" s="6" t="s">
        <v>254</v>
      </c>
    </row>
    <row r="179" spans="1:16" ht="18.5" x14ac:dyDescent="0.45">
      <c r="A179" s="6" t="s">
        <v>191</v>
      </c>
      <c r="B179" s="7">
        <f>DATE(YEAR(SalesData[[#This Row],[Date]]),MONTH(SalesData[[#This Row],[Date]]),1)</f>
        <v>46327</v>
      </c>
      <c r="C179" s="6" t="str">
        <f>TEXT(SalesData[[#This Row],[monthdate]],"mmmm")</f>
        <v>November</v>
      </c>
      <c r="D179" s="7">
        <v>46340</v>
      </c>
      <c r="E179" s="6" t="s">
        <v>195</v>
      </c>
      <c r="F179" s="6" t="s">
        <v>198</v>
      </c>
      <c r="G179" s="6" t="s">
        <v>237</v>
      </c>
      <c r="H179" s="6" t="s">
        <v>247</v>
      </c>
      <c r="I179" s="6" t="s">
        <v>253</v>
      </c>
      <c r="J179" s="6">
        <v>6.5</v>
      </c>
      <c r="K179" s="6">
        <v>7</v>
      </c>
      <c r="L179" s="6">
        <v>0.1</v>
      </c>
      <c r="M179" s="6">
        <v>40.950000000000003</v>
      </c>
      <c r="N179" s="6">
        <v>37.31</v>
      </c>
      <c r="O179" s="6">
        <v>3.64</v>
      </c>
      <c r="P179" s="6" t="s">
        <v>255</v>
      </c>
    </row>
    <row r="180" spans="1:16" ht="18.5" x14ac:dyDescent="0.45">
      <c r="A180" s="6" t="s">
        <v>192</v>
      </c>
      <c r="B180" s="7">
        <f>DATE(YEAR(SalesData[[#This Row],[Date]]),MONTH(SalesData[[#This Row],[Date]]),1)</f>
        <v>46296</v>
      </c>
      <c r="C180" s="6" t="str">
        <f>TEXT(SalesData[[#This Row],[monthdate]],"mmmm")</f>
        <v>October</v>
      </c>
      <c r="D180" s="7">
        <v>46312</v>
      </c>
      <c r="E180" s="6" t="s">
        <v>197</v>
      </c>
      <c r="F180" s="6" t="s">
        <v>205</v>
      </c>
      <c r="G180" s="6" t="s">
        <v>231</v>
      </c>
      <c r="H180" s="6" t="s">
        <v>241</v>
      </c>
      <c r="I180" s="6" t="s">
        <v>250</v>
      </c>
      <c r="J180" s="6">
        <v>2.8</v>
      </c>
      <c r="K180" s="6">
        <v>4</v>
      </c>
      <c r="L180" s="6">
        <v>0</v>
      </c>
      <c r="M180" s="6">
        <v>11.2</v>
      </c>
      <c r="N180" s="6">
        <v>8.9600000000000009</v>
      </c>
      <c r="O180" s="6">
        <v>2.2400000000000002</v>
      </c>
      <c r="P180" s="6" t="s">
        <v>254</v>
      </c>
    </row>
    <row r="181" spans="1:16" ht="18.5" x14ac:dyDescent="0.45">
      <c r="A181" s="6" t="s">
        <v>193</v>
      </c>
      <c r="B181" s="7">
        <f>DATE(YEAR(SalesData[[#This Row],[Date]]),MONTH(SalesData[[#This Row],[Date]]),1)</f>
        <v>46204</v>
      </c>
      <c r="C181" s="6" t="str">
        <f>TEXT(SalesData[[#This Row],[monthdate]],"mmmm")</f>
        <v>July</v>
      </c>
      <c r="D181" s="7">
        <v>46206</v>
      </c>
      <c r="E181" s="6" t="s">
        <v>195</v>
      </c>
      <c r="F181" s="6" t="s">
        <v>208</v>
      </c>
      <c r="G181" s="6" t="s">
        <v>229</v>
      </c>
      <c r="H181" s="6" t="s">
        <v>239</v>
      </c>
      <c r="I181" s="6" t="s">
        <v>249</v>
      </c>
      <c r="J181" s="6">
        <v>2.5</v>
      </c>
      <c r="K181" s="6">
        <v>2</v>
      </c>
      <c r="L181" s="6">
        <v>0</v>
      </c>
      <c r="M181" s="6">
        <v>5</v>
      </c>
      <c r="N181" s="6">
        <v>3.5</v>
      </c>
      <c r="O181" s="6">
        <v>1.5</v>
      </c>
      <c r="P181" s="6" t="s">
        <v>254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28BC1-444E-4972-9BE2-5A661080E744}">
  <dimension ref="A1:L107"/>
  <sheetViews>
    <sheetView topLeftCell="A75" workbookViewId="0">
      <selection activeCell="L9" sqref="L9"/>
    </sheetView>
  </sheetViews>
  <sheetFormatPr defaultRowHeight="18.5" x14ac:dyDescent="0.45"/>
  <cols>
    <col min="1" max="1" width="13.6328125" style="6" bestFit="1" customWidth="1"/>
    <col min="2" max="2" width="14.36328125" style="6" bestFit="1" customWidth="1"/>
    <col min="3" max="3" width="15" style="6" bestFit="1" customWidth="1"/>
    <col min="4" max="4" width="18.453125" style="6" bestFit="1" customWidth="1"/>
    <col min="5" max="8" width="8.7265625" style="6"/>
    <col min="9" max="9" width="19.453125" style="6" customWidth="1"/>
    <col min="10" max="16384" width="8.7265625" style="6"/>
  </cols>
  <sheetData>
    <row r="1" spans="1:12" ht="21" x14ac:dyDescent="0.5">
      <c r="B1" s="18" t="s">
        <v>296</v>
      </c>
    </row>
    <row r="3" spans="1:12" x14ac:dyDescent="0.45">
      <c r="A3" s="13" t="s">
        <v>5</v>
      </c>
      <c r="B3" s="6" t="s">
        <v>263</v>
      </c>
      <c r="C3" s="6" t="s">
        <v>266</v>
      </c>
      <c r="D3" s="6" t="s">
        <v>269</v>
      </c>
      <c r="H3" s="6" t="s">
        <v>264</v>
      </c>
      <c r="J3" s="15" t="s">
        <v>247</v>
      </c>
      <c r="L3" s="6" t="s">
        <v>272</v>
      </c>
    </row>
    <row r="4" spans="1:12" x14ac:dyDescent="0.45">
      <c r="A4" s="14" t="s">
        <v>240</v>
      </c>
      <c r="B4" s="43">
        <v>245.58</v>
      </c>
      <c r="C4" s="43">
        <v>45.51</v>
      </c>
      <c r="D4" s="43">
        <v>171</v>
      </c>
      <c r="H4" s="6" t="s">
        <v>265</v>
      </c>
      <c r="J4" s="15" t="s">
        <v>242</v>
      </c>
      <c r="K4" s="6" t="s">
        <v>273</v>
      </c>
      <c r="L4" s="6" t="s">
        <v>274</v>
      </c>
    </row>
    <row r="5" spans="1:12" x14ac:dyDescent="0.45">
      <c r="A5" s="14" t="s">
        <v>242</v>
      </c>
      <c r="B5" s="43">
        <v>129.60000000000002</v>
      </c>
      <c r="C5" s="43">
        <v>28.8</v>
      </c>
      <c r="D5" s="43">
        <v>112</v>
      </c>
    </row>
    <row r="6" spans="1:12" x14ac:dyDescent="0.45">
      <c r="A6" s="14" t="s">
        <v>245</v>
      </c>
      <c r="B6" s="43">
        <v>145.25</v>
      </c>
      <c r="C6" s="43">
        <v>43.4</v>
      </c>
      <c r="D6" s="43">
        <v>107</v>
      </c>
      <c r="H6" s="6" t="s">
        <v>267</v>
      </c>
      <c r="J6" s="15" t="s">
        <v>244</v>
      </c>
      <c r="L6" s="6" t="s">
        <v>275</v>
      </c>
    </row>
    <row r="7" spans="1:12" x14ac:dyDescent="0.45">
      <c r="A7" s="14" t="s">
        <v>246</v>
      </c>
      <c r="B7" s="43">
        <v>334.56000000000006</v>
      </c>
      <c r="C7" s="43">
        <v>74.320000000000022</v>
      </c>
      <c r="D7" s="43">
        <v>107</v>
      </c>
      <c r="H7" s="6" t="s">
        <v>268</v>
      </c>
      <c r="J7" s="15" t="s">
        <v>242</v>
      </c>
      <c r="L7" s="6" t="s">
        <v>276</v>
      </c>
    </row>
    <row r="8" spans="1:12" x14ac:dyDescent="0.45">
      <c r="A8" s="14" t="s">
        <v>239</v>
      </c>
      <c r="B8" s="43">
        <v>237.13</v>
      </c>
      <c r="C8" s="43">
        <v>67.38</v>
      </c>
      <c r="D8" s="43">
        <v>97</v>
      </c>
    </row>
    <row r="9" spans="1:12" x14ac:dyDescent="0.45">
      <c r="A9" s="14" t="s">
        <v>241</v>
      </c>
      <c r="B9" s="43">
        <v>255.35999999999996</v>
      </c>
      <c r="C9" s="43">
        <v>47.040000000000006</v>
      </c>
      <c r="D9" s="43">
        <v>93</v>
      </c>
      <c r="H9" s="6" t="s">
        <v>270</v>
      </c>
      <c r="J9" s="15" t="s">
        <v>240</v>
      </c>
      <c r="L9" s="6" t="s">
        <v>277</v>
      </c>
    </row>
    <row r="10" spans="1:12" x14ac:dyDescent="0.45">
      <c r="A10" s="14" t="s">
        <v>247</v>
      </c>
      <c r="B10" s="43">
        <v>588.58000000000015</v>
      </c>
      <c r="C10" s="43">
        <v>92.89</v>
      </c>
      <c r="D10" s="43">
        <v>93</v>
      </c>
      <c r="H10" s="6" t="s">
        <v>271</v>
      </c>
      <c r="J10" s="15" t="s">
        <v>243</v>
      </c>
    </row>
    <row r="11" spans="1:12" x14ac:dyDescent="0.45">
      <c r="A11" s="14" t="s">
        <v>244</v>
      </c>
      <c r="B11" s="43">
        <v>490.59</v>
      </c>
      <c r="C11" s="43">
        <v>121.25000000000001</v>
      </c>
      <c r="D11" s="43">
        <v>92</v>
      </c>
    </row>
    <row r="12" spans="1:12" x14ac:dyDescent="0.45">
      <c r="A12" s="14" t="s">
        <v>238</v>
      </c>
      <c r="B12" s="43">
        <v>145.62</v>
      </c>
      <c r="C12" s="43">
        <v>36.74</v>
      </c>
      <c r="D12" s="43">
        <v>84</v>
      </c>
    </row>
    <row r="13" spans="1:12" x14ac:dyDescent="0.45">
      <c r="A13" s="14" t="s">
        <v>243</v>
      </c>
      <c r="B13" s="43">
        <v>291.64999999999998</v>
      </c>
      <c r="C13" s="43">
        <v>81.199999999999989</v>
      </c>
      <c r="D13" s="43">
        <v>78</v>
      </c>
    </row>
    <row r="14" spans="1:12" x14ac:dyDescent="0.45">
      <c r="A14" s="14" t="s">
        <v>262</v>
      </c>
      <c r="B14" s="43">
        <v>2863.92</v>
      </c>
      <c r="C14" s="43">
        <v>638.53</v>
      </c>
      <c r="D14" s="43">
        <v>1034</v>
      </c>
    </row>
    <row r="16" spans="1:12" ht="21" x14ac:dyDescent="0.5">
      <c r="B16" s="18" t="s">
        <v>297</v>
      </c>
    </row>
    <row r="17" spans="1:12" x14ac:dyDescent="0.45">
      <c r="H17" s="19" t="s">
        <v>298</v>
      </c>
      <c r="J17" s="15" t="s">
        <v>252</v>
      </c>
    </row>
    <row r="18" spans="1:12" x14ac:dyDescent="0.45">
      <c r="A18" s="11" t="s">
        <v>6</v>
      </c>
      <c r="B18" t="s">
        <v>263</v>
      </c>
      <c r="C18" t="s">
        <v>266</v>
      </c>
      <c r="D18" t="s">
        <v>269</v>
      </c>
      <c r="H18" s="19" t="s">
        <v>299</v>
      </c>
      <c r="J18" s="15" t="s">
        <v>252</v>
      </c>
    </row>
    <row r="19" spans="1:12" x14ac:dyDescent="0.45">
      <c r="A19" s="12" t="s">
        <v>251</v>
      </c>
      <c r="B19">
        <v>129.60000000000002</v>
      </c>
      <c r="C19">
        <v>28.8</v>
      </c>
      <c r="D19">
        <v>112</v>
      </c>
    </row>
    <row r="20" spans="1:12" x14ac:dyDescent="0.45">
      <c r="A20" s="12" t="s">
        <v>252</v>
      </c>
      <c r="B20">
        <v>782.24</v>
      </c>
      <c r="C20">
        <v>202.45</v>
      </c>
      <c r="D20">
        <v>170</v>
      </c>
      <c r="H20" s="19" t="s">
        <v>300</v>
      </c>
      <c r="J20" s="15" t="s">
        <v>250</v>
      </c>
    </row>
    <row r="21" spans="1:12" x14ac:dyDescent="0.45">
      <c r="A21" s="12" t="s">
        <v>250</v>
      </c>
      <c r="B21">
        <v>500.94000000000011</v>
      </c>
      <c r="C21">
        <v>92.549999999999983</v>
      </c>
      <c r="D21">
        <v>264</v>
      </c>
    </row>
    <row r="22" spans="1:12" x14ac:dyDescent="0.45">
      <c r="A22" s="12" t="s">
        <v>248</v>
      </c>
      <c r="B22">
        <v>480.18</v>
      </c>
      <c r="C22">
        <v>111.05999999999997</v>
      </c>
      <c r="D22">
        <v>191</v>
      </c>
      <c r="H22" s="19" t="s">
        <v>301</v>
      </c>
      <c r="I22" s="19"/>
      <c r="L22" s="15" t="s">
        <v>250</v>
      </c>
    </row>
    <row r="23" spans="1:12" x14ac:dyDescent="0.45">
      <c r="A23" s="12" t="s">
        <v>253</v>
      </c>
      <c r="B23">
        <v>588.58000000000015</v>
      </c>
      <c r="C23">
        <v>92.89</v>
      </c>
      <c r="D23">
        <v>93</v>
      </c>
    </row>
    <row r="24" spans="1:12" x14ac:dyDescent="0.45">
      <c r="A24" s="12" t="s">
        <v>249</v>
      </c>
      <c r="B24">
        <v>382.37999999999994</v>
      </c>
      <c r="C24">
        <v>110.78</v>
      </c>
      <c r="D24">
        <v>204</v>
      </c>
    </row>
    <row r="25" spans="1:12" x14ac:dyDescent="0.45">
      <c r="A25" s="12" t="s">
        <v>262</v>
      </c>
      <c r="B25">
        <v>2863.9200000000005</v>
      </c>
      <c r="C25">
        <v>638.52999999999986</v>
      </c>
      <c r="D25">
        <v>1034</v>
      </c>
    </row>
    <row r="26" spans="1:12" x14ac:dyDescent="0.45">
      <c r="A26"/>
      <c r="B26"/>
      <c r="C26"/>
      <c r="H26" s="20"/>
    </row>
    <row r="27" spans="1:12" ht="21" x14ac:dyDescent="0.5">
      <c r="A27"/>
      <c r="B27" s="18" t="s">
        <v>302</v>
      </c>
      <c r="C27"/>
    </row>
    <row r="28" spans="1:12" x14ac:dyDescent="0.45">
      <c r="A28"/>
      <c r="B28"/>
      <c r="C28"/>
    </row>
    <row r="29" spans="1:12" x14ac:dyDescent="0.45">
      <c r="A29" s="11" t="s">
        <v>2</v>
      </c>
      <c r="B29" t="s">
        <v>263</v>
      </c>
      <c r="C29" t="s">
        <v>266</v>
      </c>
      <c r="D29" t="s">
        <v>269</v>
      </c>
      <c r="H29" s="19" t="s">
        <v>303</v>
      </c>
      <c r="K29" s="15" t="s">
        <v>195</v>
      </c>
    </row>
    <row r="30" spans="1:12" x14ac:dyDescent="0.45">
      <c r="A30" s="12" t="s">
        <v>196</v>
      </c>
      <c r="B30" s="17">
        <v>0.25766781195005445</v>
      </c>
      <c r="C30">
        <v>170.92000000000004</v>
      </c>
      <c r="D30">
        <v>271</v>
      </c>
    </row>
    <row r="31" spans="1:12" x14ac:dyDescent="0.45">
      <c r="A31" s="12" t="s">
        <v>194</v>
      </c>
      <c r="B31" s="17">
        <v>0.22914047878432361</v>
      </c>
      <c r="C31">
        <v>142.86999999999998</v>
      </c>
      <c r="D31">
        <v>219</v>
      </c>
      <c r="H31" s="19" t="s">
        <v>304</v>
      </c>
      <c r="K31" s="15" t="s">
        <v>195</v>
      </c>
    </row>
    <row r="32" spans="1:12" x14ac:dyDescent="0.45">
      <c r="A32" s="12" t="s">
        <v>195</v>
      </c>
      <c r="B32" s="17">
        <v>0.26708497444062679</v>
      </c>
      <c r="C32">
        <v>171.78000000000003</v>
      </c>
      <c r="D32">
        <v>298</v>
      </c>
    </row>
    <row r="33" spans="1:12" x14ac:dyDescent="0.45">
      <c r="A33" s="12" t="s">
        <v>197</v>
      </c>
      <c r="B33" s="17">
        <v>0.24610673482499512</v>
      </c>
      <c r="C33">
        <v>152.95999999999995</v>
      </c>
      <c r="D33">
        <v>246</v>
      </c>
      <c r="H33" s="19" t="s">
        <v>305</v>
      </c>
      <c r="K33" s="15" t="s">
        <v>194</v>
      </c>
    </row>
    <row r="34" spans="1:12" x14ac:dyDescent="0.45">
      <c r="A34" s="12" t="s">
        <v>262</v>
      </c>
      <c r="B34" s="17">
        <v>1</v>
      </c>
      <c r="C34">
        <v>638.53</v>
      </c>
      <c r="D34">
        <v>1034</v>
      </c>
    </row>
    <row r="35" spans="1:12" x14ac:dyDescent="0.45">
      <c r="A35"/>
      <c r="B35"/>
      <c r="C35"/>
      <c r="H35" s="19" t="s">
        <v>306</v>
      </c>
      <c r="K35" s="15" t="s">
        <v>320</v>
      </c>
    </row>
    <row r="36" spans="1:12" ht="21" x14ac:dyDescent="0.5">
      <c r="A36"/>
      <c r="B36" s="18" t="s">
        <v>307</v>
      </c>
      <c r="C36"/>
    </row>
    <row r="37" spans="1:12" x14ac:dyDescent="0.45">
      <c r="A37"/>
      <c r="B37"/>
      <c r="C37"/>
    </row>
    <row r="38" spans="1:12" x14ac:dyDescent="0.45">
      <c r="A38" s="11" t="s">
        <v>308</v>
      </c>
      <c r="B38" t="s">
        <v>263</v>
      </c>
      <c r="C38" t="s">
        <v>266</v>
      </c>
      <c r="D38" t="s">
        <v>269</v>
      </c>
      <c r="H38" s="19" t="s">
        <v>309</v>
      </c>
      <c r="K38" s="15" t="s">
        <v>211</v>
      </c>
    </row>
    <row r="39" spans="1:12" x14ac:dyDescent="0.45">
      <c r="A39" s="12" t="s">
        <v>211</v>
      </c>
      <c r="B39">
        <v>292.31</v>
      </c>
      <c r="C39">
        <v>66.89</v>
      </c>
      <c r="D39">
        <v>82</v>
      </c>
    </row>
    <row r="40" spans="1:12" x14ac:dyDescent="0.45">
      <c r="A40" s="12" t="s">
        <v>212</v>
      </c>
      <c r="B40">
        <v>173.83</v>
      </c>
      <c r="C40">
        <v>36.049999999999997</v>
      </c>
      <c r="D40">
        <v>67</v>
      </c>
      <c r="H40" s="19" t="s">
        <v>310</v>
      </c>
      <c r="K40" s="15" t="s">
        <v>201</v>
      </c>
    </row>
    <row r="41" spans="1:12" x14ac:dyDescent="0.45">
      <c r="A41" s="12" t="s">
        <v>205</v>
      </c>
      <c r="B41">
        <v>164.35</v>
      </c>
      <c r="C41">
        <v>31.11</v>
      </c>
      <c r="D41">
        <v>38</v>
      </c>
    </row>
    <row r="42" spans="1:12" x14ac:dyDescent="0.45">
      <c r="A42" s="12" t="s">
        <v>206</v>
      </c>
      <c r="B42">
        <v>153.46</v>
      </c>
      <c r="C42">
        <v>39.68</v>
      </c>
      <c r="D42">
        <v>45</v>
      </c>
      <c r="H42" s="19" t="s">
        <v>311</v>
      </c>
      <c r="I42" s="19"/>
      <c r="K42" s="21" t="s">
        <v>211</v>
      </c>
    </row>
    <row r="43" spans="1:12" x14ac:dyDescent="0.45">
      <c r="A43" s="12" t="s">
        <v>198</v>
      </c>
      <c r="B43">
        <v>147.75</v>
      </c>
      <c r="C43">
        <v>28.509999999999998</v>
      </c>
      <c r="D43">
        <v>50</v>
      </c>
      <c r="K43" s="21" t="s">
        <v>212</v>
      </c>
    </row>
    <row r="44" spans="1:12" x14ac:dyDescent="0.45">
      <c r="A44" s="12" t="s">
        <v>204</v>
      </c>
      <c r="B44">
        <v>137.72999999999999</v>
      </c>
      <c r="C44">
        <v>36.93</v>
      </c>
      <c r="D44">
        <v>51</v>
      </c>
      <c r="K44" s="21" t="s">
        <v>205</v>
      </c>
    </row>
    <row r="45" spans="1:12" x14ac:dyDescent="0.45">
      <c r="A45" s="12" t="s">
        <v>224</v>
      </c>
      <c r="B45">
        <v>130.28</v>
      </c>
      <c r="C45">
        <v>26</v>
      </c>
      <c r="D45">
        <v>29</v>
      </c>
      <c r="K45" s="21" t="s">
        <v>206</v>
      </c>
    </row>
    <row r="46" spans="1:12" x14ac:dyDescent="0.45">
      <c r="A46" s="12" t="s">
        <v>225</v>
      </c>
      <c r="B46">
        <v>123.63999999999999</v>
      </c>
      <c r="C46">
        <v>26.23</v>
      </c>
      <c r="D46">
        <v>44</v>
      </c>
      <c r="H46" s="20"/>
      <c r="K46" s="21" t="s">
        <v>198</v>
      </c>
    </row>
    <row r="47" spans="1:12" x14ac:dyDescent="0.45">
      <c r="A47" s="12" t="s">
        <v>203</v>
      </c>
      <c r="B47">
        <v>114.42</v>
      </c>
      <c r="C47">
        <v>25.86</v>
      </c>
      <c r="D47">
        <v>32</v>
      </c>
      <c r="K47" s="21" t="s">
        <v>204</v>
      </c>
    </row>
    <row r="48" spans="1:12" x14ac:dyDescent="0.45">
      <c r="A48" s="12" t="s">
        <v>207</v>
      </c>
      <c r="B48">
        <v>114.16</v>
      </c>
      <c r="C48">
        <v>29.490000000000002</v>
      </c>
      <c r="D48">
        <v>35</v>
      </c>
      <c r="K48" s="21" t="s">
        <v>224</v>
      </c>
      <c r="L48" s="14"/>
    </row>
    <row r="49" spans="1:11" x14ac:dyDescent="0.45">
      <c r="A49" s="12" t="s">
        <v>209</v>
      </c>
      <c r="B49">
        <v>108.06</v>
      </c>
      <c r="C49">
        <v>28.42</v>
      </c>
      <c r="D49">
        <v>42</v>
      </c>
      <c r="K49" s="21" t="s">
        <v>225</v>
      </c>
    </row>
    <row r="50" spans="1:11" x14ac:dyDescent="0.45">
      <c r="A50" s="12" t="s">
        <v>215</v>
      </c>
      <c r="B50">
        <v>100.54</v>
      </c>
      <c r="C50">
        <v>26.370000000000005</v>
      </c>
      <c r="D50">
        <v>30</v>
      </c>
      <c r="K50" s="21" t="s">
        <v>203</v>
      </c>
    </row>
    <row r="51" spans="1:11" x14ac:dyDescent="0.45">
      <c r="A51" s="12" t="s">
        <v>213</v>
      </c>
      <c r="B51">
        <v>95.69</v>
      </c>
      <c r="C51">
        <v>17.63</v>
      </c>
      <c r="D51">
        <v>23</v>
      </c>
      <c r="K51" s="21" t="s">
        <v>207</v>
      </c>
    </row>
    <row r="52" spans="1:11" x14ac:dyDescent="0.45">
      <c r="A52" s="12" t="s">
        <v>199</v>
      </c>
      <c r="B52">
        <v>94.1</v>
      </c>
      <c r="C52">
        <v>16.79</v>
      </c>
      <c r="D52">
        <v>17</v>
      </c>
    </row>
    <row r="53" spans="1:11" x14ac:dyDescent="0.45">
      <c r="A53" s="12" t="s">
        <v>216</v>
      </c>
      <c r="B53">
        <v>92.710000000000008</v>
      </c>
      <c r="C53">
        <v>21.23</v>
      </c>
      <c r="D53">
        <v>37</v>
      </c>
    </row>
    <row r="54" spans="1:11" x14ac:dyDescent="0.45">
      <c r="A54" s="12" t="s">
        <v>227</v>
      </c>
      <c r="B54">
        <v>90.320000000000007</v>
      </c>
      <c r="C54">
        <v>24.52</v>
      </c>
      <c r="D54">
        <v>38</v>
      </c>
    </row>
    <row r="55" spans="1:11" x14ac:dyDescent="0.45">
      <c r="A55" s="12" t="s">
        <v>218</v>
      </c>
      <c r="B55">
        <v>89.8</v>
      </c>
      <c r="C55">
        <v>21.47</v>
      </c>
      <c r="D55">
        <v>52</v>
      </c>
    </row>
    <row r="56" spans="1:11" x14ac:dyDescent="0.45">
      <c r="A56" s="12" t="s">
        <v>208</v>
      </c>
      <c r="B56">
        <v>80.58</v>
      </c>
      <c r="C56">
        <v>15.73</v>
      </c>
      <c r="D56">
        <v>45</v>
      </c>
    </row>
    <row r="57" spans="1:11" x14ac:dyDescent="0.45">
      <c r="A57" s="12" t="s">
        <v>202</v>
      </c>
      <c r="B57">
        <v>70.510000000000005</v>
      </c>
      <c r="C57">
        <v>15.169999999999998</v>
      </c>
      <c r="D57">
        <v>40</v>
      </c>
    </row>
    <row r="58" spans="1:11" x14ac:dyDescent="0.45">
      <c r="A58" s="12" t="s">
        <v>221</v>
      </c>
      <c r="B58">
        <v>66.209999999999994</v>
      </c>
      <c r="C58">
        <v>13.89</v>
      </c>
      <c r="D58">
        <v>15</v>
      </c>
    </row>
    <row r="59" spans="1:11" x14ac:dyDescent="0.45">
      <c r="A59" s="12" t="s">
        <v>210</v>
      </c>
      <c r="B59">
        <v>61.88</v>
      </c>
      <c r="C59">
        <v>14.559999999999999</v>
      </c>
      <c r="D59">
        <v>38</v>
      </c>
    </row>
    <row r="60" spans="1:11" x14ac:dyDescent="0.45">
      <c r="A60" s="12" t="s">
        <v>219</v>
      </c>
      <c r="B60">
        <v>61.75</v>
      </c>
      <c r="C60">
        <v>11.350000000000001</v>
      </c>
      <c r="D60">
        <v>24</v>
      </c>
    </row>
    <row r="61" spans="1:11" x14ac:dyDescent="0.45">
      <c r="A61" s="12" t="s">
        <v>223</v>
      </c>
      <c r="B61">
        <v>49.42</v>
      </c>
      <c r="C61">
        <v>11.86</v>
      </c>
      <c r="D61">
        <v>34</v>
      </c>
    </row>
    <row r="62" spans="1:11" x14ac:dyDescent="0.45">
      <c r="A62" s="12" t="s">
        <v>220</v>
      </c>
      <c r="B62">
        <v>45.92</v>
      </c>
      <c r="C62">
        <v>9.68</v>
      </c>
      <c r="D62">
        <v>28</v>
      </c>
    </row>
    <row r="63" spans="1:11" x14ac:dyDescent="0.45">
      <c r="A63" s="12" t="s">
        <v>217</v>
      </c>
      <c r="B63">
        <v>44.89</v>
      </c>
      <c r="C63">
        <v>12.32</v>
      </c>
      <c r="D63">
        <v>28</v>
      </c>
    </row>
    <row r="64" spans="1:11" x14ac:dyDescent="0.45">
      <c r="A64" s="12" t="s">
        <v>214</v>
      </c>
      <c r="B64">
        <v>42.629999999999995</v>
      </c>
      <c r="C64">
        <v>5.92</v>
      </c>
      <c r="D64">
        <v>16</v>
      </c>
    </row>
    <row r="65" spans="1:10" x14ac:dyDescent="0.45">
      <c r="A65" s="12" t="s">
        <v>226</v>
      </c>
      <c r="B65">
        <v>41.99</v>
      </c>
      <c r="C65">
        <v>8.68</v>
      </c>
      <c r="D65">
        <v>22</v>
      </c>
    </row>
    <row r="66" spans="1:10" x14ac:dyDescent="0.45">
      <c r="A66" s="12" t="s">
        <v>222</v>
      </c>
      <c r="B66">
        <v>37.28</v>
      </c>
      <c r="C66">
        <v>8.5</v>
      </c>
      <c r="D66">
        <v>17</v>
      </c>
    </row>
    <row r="67" spans="1:10" x14ac:dyDescent="0.45">
      <c r="A67" s="12" t="s">
        <v>200</v>
      </c>
      <c r="B67">
        <v>26.24</v>
      </c>
      <c r="C67">
        <v>5.17</v>
      </c>
      <c r="D67">
        <v>7</v>
      </c>
    </row>
    <row r="68" spans="1:10" x14ac:dyDescent="0.45">
      <c r="A68" s="12" t="s">
        <v>262</v>
      </c>
      <c r="B68">
        <v>2852.4500000000003</v>
      </c>
      <c r="C68">
        <v>636.0100000000001</v>
      </c>
      <c r="D68">
        <v>1026</v>
      </c>
    </row>
    <row r="69" spans="1:10" x14ac:dyDescent="0.45">
      <c r="A69"/>
      <c r="B69"/>
      <c r="C69"/>
      <c r="D69"/>
    </row>
    <row r="70" spans="1:10" x14ac:dyDescent="0.45">
      <c r="A70"/>
      <c r="B70"/>
      <c r="C70"/>
      <c r="D70"/>
    </row>
    <row r="71" spans="1:10" ht="21" x14ac:dyDescent="0.5">
      <c r="A71"/>
      <c r="B71" s="18" t="s">
        <v>312</v>
      </c>
      <c r="C71"/>
      <c r="D71"/>
    </row>
    <row r="72" spans="1:10" x14ac:dyDescent="0.45">
      <c r="A72"/>
      <c r="B72"/>
      <c r="C72"/>
      <c r="D72"/>
    </row>
    <row r="73" spans="1:10" x14ac:dyDescent="0.45">
      <c r="A73" s="11" t="s">
        <v>280</v>
      </c>
      <c r="B73" t="s">
        <v>263</v>
      </c>
      <c r="C73" t="s">
        <v>266</v>
      </c>
      <c r="D73" t="s">
        <v>269</v>
      </c>
      <c r="G73" s="6" t="s">
        <v>313</v>
      </c>
      <c r="J73" s="15" t="s">
        <v>281</v>
      </c>
    </row>
    <row r="74" spans="1:10" x14ac:dyDescent="0.45">
      <c r="A74" s="12" t="s">
        <v>281</v>
      </c>
      <c r="B74">
        <v>431.70000000000005</v>
      </c>
      <c r="C74">
        <v>98.169999999999987</v>
      </c>
      <c r="D74">
        <v>124</v>
      </c>
    </row>
    <row r="75" spans="1:10" x14ac:dyDescent="0.45">
      <c r="A75" s="12" t="s">
        <v>282</v>
      </c>
      <c r="B75">
        <v>203.74999999999997</v>
      </c>
      <c r="C75">
        <v>44.47</v>
      </c>
      <c r="D75">
        <v>65</v>
      </c>
      <c r="G75" s="19" t="s">
        <v>314</v>
      </c>
      <c r="J75" s="15" t="s">
        <v>288</v>
      </c>
    </row>
    <row r="76" spans="1:10" x14ac:dyDescent="0.45">
      <c r="A76" s="12" t="s">
        <v>283</v>
      </c>
      <c r="B76">
        <v>173.03</v>
      </c>
      <c r="C76">
        <v>42.800000000000004</v>
      </c>
      <c r="D76">
        <v>62</v>
      </c>
    </row>
    <row r="77" spans="1:10" x14ac:dyDescent="0.45">
      <c r="A77" s="12" t="s">
        <v>284</v>
      </c>
      <c r="B77">
        <v>264.33</v>
      </c>
      <c r="C77">
        <v>62.930000000000007</v>
      </c>
      <c r="D77">
        <v>97</v>
      </c>
      <c r="G77" s="6" t="s">
        <v>315</v>
      </c>
      <c r="J77" s="15" t="s">
        <v>281</v>
      </c>
    </row>
    <row r="78" spans="1:10" x14ac:dyDescent="0.45">
      <c r="A78" s="12" t="s">
        <v>285</v>
      </c>
      <c r="B78">
        <v>196.97000000000003</v>
      </c>
      <c r="C78">
        <v>43.290000000000006</v>
      </c>
      <c r="D78">
        <v>99</v>
      </c>
    </row>
    <row r="79" spans="1:10" x14ac:dyDescent="0.45">
      <c r="A79" s="12" t="s">
        <v>286</v>
      </c>
      <c r="B79">
        <v>265.29999999999995</v>
      </c>
      <c r="C79">
        <v>54.71</v>
      </c>
      <c r="D79">
        <v>95</v>
      </c>
      <c r="G79" s="6" t="s">
        <v>293</v>
      </c>
    </row>
    <row r="80" spans="1:10" x14ac:dyDescent="0.45">
      <c r="A80" s="12" t="s">
        <v>287</v>
      </c>
      <c r="B80">
        <v>220.46000000000004</v>
      </c>
      <c r="C80">
        <v>48.470000000000006</v>
      </c>
      <c r="D80">
        <v>80</v>
      </c>
      <c r="J80" s="15" t="s">
        <v>295</v>
      </c>
    </row>
    <row r="81" spans="1:10" x14ac:dyDescent="0.45">
      <c r="A81" s="12" t="s">
        <v>288</v>
      </c>
      <c r="B81">
        <v>93.84</v>
      </c>
      <c r="C81">
        <v>21.35</v>
      </c>
      <c r="D81">
        <v>50</v>
      </c>
    </row>
    <row r="82" spans="1:10" x14ac:dyDescent="0.45">
      <c r="A82" s="12" t="s">
        <v>289</v>
      </c>
      <c r="B82">
        <v>251.02</v>
      </c>
      <c r="C82">
        <v>55.859999999999992</v>
      </c>
      <c r="D82">
        <v>119</v>
      </c>
    </row>
    <row r="83" spans="1:10" x14ac:dyDescent="0.45">
      <c r="A83" s="12" t="s">
        <v>290</v>
      </c>
      <c r="B83">
        <v>218.82000000000002</v>
      </c>
      <c r="C83">
        <v>54.190000000000005</v>
      </c>
      <c r="D83">
        <v>75</v>
      </c>
      <c r="G83" s="20"/>
    </row>
    <row r="84" spans="1:10" x14ac:dyDescent="0.45">
      <c r="A84" s="12" t="s">
        <v>291</v>
      </c>
      <c r="B84">
        <v>333.60999999999996</v>
      </c>
      <c r="C84">
        <v>60.46</v>
      </c>
      <c r="D84">
        <v>80</v>
      </c>
    </row>
    <row r="85" spans="1:10" x14ac:dyDescent="0.45">
      <c r="A85" s="12" t="s">
        <v>292</v>
      </c>
      <c r="B85">
        <v>211.09</v>
      </c>
      <c r="C85">
        <v>51.830000000000005</v>
      </c>
      <c r="D85">
        <v>88</v>
      </c>
    </row>
    <row r="86" spans="1:10" x14ac:dyDescent="0.45">
      <c r="A86" s="12" t="s">
        <v>262</v>
      </c>
      <c r="B86">
        <v>2863.9200000000005</v>
      </c>
      <c r="C86">
        <v>638.5300000000002</v>
      </c>
      <c r="D86">
        <v>1034</v>
      </c>
    </row>
    <row r="87" spans="1:10" x14ac:dyDescent="0.45">
      <c r="A87"/>
      <c r="B87"/>
      <c r="C87"/>
    </row>
    <row r="88" spans="1:10" ht="21" x14ac:dyDescent="0.5">
      <c r="A88"/>
      <c r="B88" s="18" t="s">
        <v>316</v>
      </c>
      <c r="C88"/>
    </row>
    <row r="89" spans="1:10" x14ac:dyDescent="0.45">
      <c r="A89"/>
      <c r="B89"/>
      <c r="C89"/>
      <c r="G89" s="19" t="s">
        <v>318</v>
      </c>
      <c r="H89" s="19"/>
      <c r="J89" s="15" t="s">
        <v>255</v>
      </c>
    </row>
    <row r="90" spans="1:10" x14ac:dyDescent="0.45">
      <c r="A90" s="11" t="s">
        <v>13</v>
      </c>
      <c r="B90" t="s">
        <v>263</v>
      </c>
      <c r="C90" t="s">
        <v>266</v>
      </c>
      <c r="D90" t="s">
        <v>269</v>
      </c>
    </row>
    <row r="91" spans="1:10" x14ac:dyDescent="0.45">
      <c r="A91" s="12" t="s">
        <v>255</v>
      </c>
      <c r="B91">
        <v>1495.6500000000003</v>
      </c>
      <c r="C91">
        <v>336.44000000000005</v>
      </c>
      <c r="D91">
        <v>510</v>
      </c>
      <c r="G91" s="19" t="s">
        <v>317</v>
      </c>
      <c r="H91" s="19"/>
      <c r="J91" s="15" t="s">
        <v>255</v>
      </c>
    </row>
    <row r="92" spans="1:10" x14ac:dyDescent="0.45">
      <c r="A92" s="12" t="s">
        <v>254</v>
      </c>
      <c r="B92">
        <v>1368.2699999999998</v>
      </c>
      <c r="C92">
        <v>302.09000000000003</v>
      </c>
      <c r="D92">
        <v>524</v>
      </c>
    </row>
    <row r="93" spans="1:10" x14ac:dyDescent="0.45">
      <c r="A93" s="12" t="s">
        <v>262</v>
      </c>
      <c r="B93">
        <v>2863.92</v>
      </c>
      <c r="C93">
        <v>638.53000000000009</v>
      </c>
      <c r="D93">
        <v>1034</v>
      </c>
      <c r="G93" s="19" t="s">
        <v>319</v>
      </c>
      <c r="H93" s="19"/>
      <c r="J93" s="15" t="s">
        <v>254</v>
      </c>
    </row>
    <row r="94" spans="1:10" x14ac:dyDescent="0.45">
      <c r="A94"/>
      <c r="B94"/>
      <c r="C94"/>
    </row>
    <row r="95" spans="1:10" x14ac:dyDescent="0.45">
      <c r="A95"/>
      <c r="B95"/>
      <c r="C95"/>
      <c r="H95" s="20"/>
    </row>
    <row r="96" spans="1:10" x14ac:dyDescent="0.45">
      <c r="A96"/>
      <c r="B96"/>
      <c r="C96"/>
    </row>
    <row r="97" spans="1:3" x14ac:dyDescent="0.45">
      <c r="A97"/>
      <c r="B97"/>
      <c r="C97"/>
    </row>
    <row r="98" spans="1:3" x14ac:dyDescent="0.45">
      <c r="A98"/>
      <c r="B98"/>
      <c r="C98"/>
    </row>
    <row r="99" spans="1:3" x14ac:dyDescent="0.45">
      <c r="A99"/>
      <c r="B99"/>
      <c r="C99"/>
    </row>
    <row r="100" spans="1:3" x14ac:dyDescent="0.45">
      <c r="A100"/>
      <c r="B100"/>
      <c r="C100"/>
    </row>
    <row r="101" spans="1:3" x14ac:dyDescent="0.45">
      <c r="A101"/>
      <c r="B101"/>
      <c r="C101"/>
    </row>
    <row r="102" spans="1:3" x14ac:dyDescent="0.45">
      <c r="A102"/>
      <c r="B102"/>
      <c r="C102"/>
    </row>
    <row r="103" spans="1:3" x14ac:dyDescent="0.45">
      <c r="A103"/>
      <c r="B103"/>
      <c r="C103"/>
    </row>
    <row r="104" spans="1:3" x14ac:dyDescent="0.45">
      <c r="A104"/>
      <c r="B104"/>
      <c r="C104"/>
    </row>
    <row r="105" spans="1:3" x14ac:dyDescent="0.45">
      <c r="A105"/>
      <c r="B105"/>
      <c r="C105"/>
    </row>
    <row r="106" spans="1:3" x14ac:dyDescent="0.45">
      <c r="A106"/>
      <c r="B106"/>
      <c r="C106"/>
    </row>
    <row r="107" spans="1:3" x14ac:dyDescent="0.45">
      <c r="A107"/>
      <c r="B107"/>
      <c r="C107"/>
    </row>
  </sheetData>
  <pageMargins left="0.7" right="0.7" top="0.75" bottom="0.75" header="0.3" footer="0.3"/>
  <pageSetup paperSize="9" orientation="portrait"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7A276-6C15-44D9-9E39-3C2CD9FFA1A2}">
  <dimension ref="D2:N15"/>
  <sheetViews>
    <sheetView showGridLines="0" zoomScale="86" zoomScaleNormal="86" workbookViewId="0">
      <selection activeCell="N19" sqref="N19"/>
    </sheetView>
  </sheetViews>
  <sheetFormatPr defaultRowHeight="14.5" x14ac:dyDescent="0.35"/>
  <cols>
    <col min="4" max="13" width="10.6328125" customWidth="1"/>
  </cols>
  <sheetData>
    <row r="2" spans="4:14" ht="40" customHeight="1" x14ac:dyDescent="0.35">
      <c r="D2" s="22" t="s">
        <v>324</v>
      </c>
      <c r="E2" s="26"/>
      <c r="F2" s="26"/>
      <c r="G2" s="26"/>
      <c r="H2" s="26"/>
      <c r="I2" s="26"/>
      <c r="J2" s="26"/>
      <c r="K2" s="26"/>
      <c r="L2" s="26"/>
      <c r="M2" s="26"/>
    </row>
    <row r="5" spans="4:14" ht="20" customHeight="1" x14ac:dyDescent="0.35">
      <c r="D5" s="23" t="s">
        <v>278</v>
      </c>
      <c r="E5" s="23"/>
      <c r="F5" s="23" t="s">
        <v>279</v>
      </c>
      <c r="G5" s="23"/>
      <c r="H5" s="23" t="s">
        <v>321</v>
      </c>
      <c r="I5" s="23"/>
      <c r="J5" s="23" t="s">
        <v>322</v>
      </c>
      <c r="K5" s="23"/>
      <c r="L5" s="23" t="s">
        <v>323</v>
      </c>
      <c r="M5" s="23"/>
    </row>
    <row r="6" spans="4:14" ht="30" customHeight="1" x14ac:dyDescent="0.35">
      <c r="D6" s="24">
        <f>GETPIVOTDATA("Sum of Sales",PVT_Chart!$A$56)</f>
        <v>2863.9199999999992</v>
      </c>
      <c r="E6" s="24"/>
      <c r="F6" s="24">
        <f>GETPIVOTDATA("Sum of Profit",PVT_Chart!$A$56)</f>
        <v>638.53</v>
      </c>
      <c r="G6" s="24"/>
      <c r="H6" s="25">
        <f>GETPIVOTDATA("Sum of Quantity",PVT_Chart!$A$56)</f>
        <v>1034</v>
      </c>
      <c r="I6" s="25"/>
      <c r="J6" s="25">
        <f>GETPIVOTDATA("Count of Order_ID",PVT_Chart!$A$56)</f>
        <v>180</v>
      </c>
      <c r="K6" s="25"/>
      <c r="L6" s="40">
        <f>F6/D6</f>
        <v>0.2229566468337105</v>
      </c>
      <c r="M6" s="40"/>
    </row>
    <row r="7" spans="4:14" ht="5" customHeight="1" x14ac:dyDescent="0.35"/>
    <row r="8" spans="4:14" ht="21" x14ac:dyDescent="0.5">
      <c r="K8" s="28" t="s">
        <v>325</v>
      </c>
      <c r="L8" s="28"/>
      <c r="M8" s="28"/>
      <c r="N8" s="27"/>
    </row>
    <row r="9" spans="4:14" x14ac:dyDescent="0.35">
      <c r="K9" s="29"/>
      <c r="L9" s="30"/>
      <c r="M9" s="31"/>
    </row>
    <row r="10" spans="4:14" x14ac:dyDescent="0.35">
      <c r="K10" s="41" t="s">
        <v>326</v>
      </c>
      <c r="L10" s="42"/>
      <c r="M10" s="32" t="s">
        <v>247</v>
      </c>
    </row>
    <row r="11" spans="4:14" x14ac:dyDescent="0.35">
      <c r="K11" s="41" t="s">
        <v>327</v>
      </c>
      <c r="L11" s="42"/>
      <c r="M11" s="32" t="s">
        <v>244</v>
      </c>
    </row>
    <row r="12" spans="4:14" x14ac:dyDescent="0.35">
      <c r="K12" s="41" t="s">
        <v>328</v>
      </c>
      <c r="L12" s="42"/>
      <c r="M12" s="32" t="s">
        <v>252</v>
      </c>
    </row>
    <row r="13" spans="4:14" x14ac:dyDescent="0.35">
      <c r="K13" s="41" t="s">
        <v>329</v>
      </c>
      <c r="L13" s="42"/>
      <c r="M13" s="32" t="s">
        <v>250</v>
      </c>
    </row>
    <row r="14" spans="4:14" x14ac:dyDescent="0.35">
      <c r="K14" s="33"/>
      <c r="L14" s="34"/>
      <c r="M14" s="35"/>
    </row>
    <row r="15" spans="4:14" x14ac:dyDescent="0.35">
      <c r="K15" s="36"/>
      <c r="L15" s="37"/>
      <c r="M15" s="38"/>
    </row>
  </sheetData>
  <mergeCells count="16">
    <mergeCell ref="K8:M8"/>
    <mergeCell ref="K10:L10"/>
    <mergeCell ref="K11:L11"/>
    <mergeCell ref="K12:L12"/>
    <mergeCell ref="K13:L13"/>
    <mergeCell ref="L5:M5"/>
    <mergeCell ref="L6:M6"/>
    <mergeCell ref="D2:M2"/>
    <mergeCell ref="D5:E5"/>
    <mergeCell ref="D6:E6"/>
    <mergeCell ref="F5:G5"/>
    <mergeCell ref="F6:G6"/>
    <mergeCell ref="H5:I5"/>
    <mergeCell ref="H6:I6"/>
    <mergeCell ref="J5:K5"/>
    <mergeCell ref="J6:K6"/>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343CD-EA13-4F21-94CC-3C9C5ECB5326}">
  <dimension ref="A3:D57"/>
  <sheetViews>
    <sheetView workbookViewId="0">
      <selection activeCell="H36" sqref="H36"/>
    </sheetView>
  </sheetViews>
  <sheetFormatPr defaultRowHeight="14.5" x14ac:dyDescent="0.35"/>
  <cols>
    <col min="1" max="1" width="10.7265625" bestFit="1" customWidth="1"/>
    <col min="2" max="2" width="11.26953125" bestFit="1" customWidth="1"/>
    <col min="3" max="3" width="14.54296875" bestFit="1" customWidth="1"/>
    <col min="4" max="4" width="16.36328125" bestFit="1" customWidth="1"/>
  </cols>
  <sheetData>
    <row r="3" spans="1:2" x14ac:dyDescent="0.35">
      <c r="A3" s="11" t="s">
        <v>280</v>
      </c>
      <c r="B3" t="s">
        <v>263</v>
      </c>
    </row>
    <row r="4" spans="1:2" x14ac:dyDescent="0.35">
      <c r="A4" s="12" t="s">
        <v>281</v>
      </c>
      <c r="B4" s="44">
        <v>431.70000000000005</v>
      </c>
    </row>
    <row r="5" spans="1:2" x14ac:dyDescent="0.35">
      <c r="A5" s="12" t="s">
        <v>282</v>
      </c>
      <c r="B5" s="44">
        <v>203.74999999999997</v>
      </c>
    </row>
    <row r="6" spans="1:2" x14ac:dyDescent="0.35">
      <c r="A6" s="12" t="s">
        <v>283</v>
      </c>
      <c r="B6" s="44">
        <v>173.03</v>
      </c>
    </row>
    <row r="7" spans="1:2" x14ac:dyDescent="0.35">
      <c r="A7" s="12" t="s">
        <v>284</v>
      </c>
      <c r="B7" s="44">
        <v>264.33</v>
      </c>
    </row>
    <row r="8" spans="1:2" x14ac:dyDescent="0.35">
      <c r="A8" s="12" t="s">
        <v>285</v>
      </c>
      <c r="B8" s="44">
        <v>196.97000000000003</v>
      </c>
    </row>
    <row r="9" spans="1:2" x14ac:dyDescent="0.35">
      <c r="A9" s="12" t="s">
        <v>286</v>
      </c>
      <c r="B9" s="44">
        <v>265.29999999999995</v>
      </c>
    </row>
    <row r="10" spans="1:2" x14ac:dyDescent="0.35">
      <c r="A10" s="12" t="s">
        <v>287</v>
      </c>
      <c r="B10" s="44">
        <v>220.46000000000004</v>
      </c>
    </row>
    <row r="11" spans="1:2" x14ac:dyDescent="0.35">
      <c r="A11" s="12" t="s">
        <v>288</v>
      </c>
      <c r="B11" s="44">
        <v>93.84</v>
      </c>
    </row>
    <row r="12" spans="1:2" x14ac:dyDescent="0.35">
      <c r="A12" s="12" t="s">
        <v>289</v>
      </c>
      <c r="B12" s="44">
        <v>251.02</v>
      </c>
    </row>
    <row r="13" spans="1:2" x14ac:dyDescent="0.35">
      <c r="A13" s="12" t="s">
        <v>290</v>
      </c>
      <c r="B13" s="44">
        <v>218.82000000000002</v>
      </c>
    </row>
    <row r="14" spans="1:2" x14ac:dyDescent="0.35">
      <c r="A14" s="12" t="s">
        <v>291</v>
      </c>
      <c r="B14" s="44">
        <v>333.60999999999996</v>
      </c>
    </row>
    <row r="15" spans="1:2" x14ac:dyDescent="0.35">
      <c r="A15" s="12" t="s">
        <v>292</v>
      </c>
      <c r="B15" s="44">
        <v>211.09</v>
      </c>
    </row>
    <row r="16" spans="1:2" x14ac:dyDescent="0.35">
      <c r="A16" s="12" t="s">
        <v>262</v>
      </c>
      <c r="B16" s="39">
        <v>2863.9200000000005</v>
      </c>
    </row>
    <row r="20" spans="1:2" x14ac:dyDescent="0.35">
      <c r="A20" s="11" t="s">
        <v>2</v>
      </c>
      <c r="B20" t="s">
        <v>263</v>
      </c>
    </row>
    <row r="21" spans="1:2" x14ac:dyDescent="0.35">
      <c r="A21" s="12" t="s">
        <v>194</v>
      </c>
      <c r="B21" s="44">
        <v>656.24000000000012</v>
      </c>
    </row>
    <row r="22" spans="1:2" x14ac:dyDescent="0.35">
      <c r="A22" s="12" t="s">
        <v>197</v>
      </c>
      <c r="B22" s="44">
        <v>704.83</v>
      </c>
    </row>
    <row r="23" spans="1:2" x14ac:dyDescent="0.35">
      <c r="A23" s="12" t="s">
        <v>196</v>
      </c>
      <c r="B23" s="44">
        <v>737.93999999999994</v>
      </c>
    </row>
    <row r="24" spans="1:2" x14ac:dyDescent="0.35">
      <c r="A24" s="12" t="s">
        <v>195</v>
      </c>
      <c r="B24" s="44">
        <v>764.91</v>
      </c>
    </row>
    <row r="25" spans="1:2" x14ac:dyDescent="0.35">
      <c r="A25" s="12" t="s">
        <v>262</v>
      </c>
      <c r="B25" s="39">
        <v>2863.92</v>
      </c>
    </row>
    <row r="33" spans="1:2" x14ac:dyDescent="0.35">
      <c r="A33" s="11" t="s">
        <v>6</v>
      </c>
      <c r="B33" t="s">
        <v>263</v>
      </c>
    </row>
    <row r="34" spans="1:2" x14ac:dyDescent="0.35">
      <c r="A34" s="12" t="s">
        <v>252</v>
      </c>
      <c r="B34" s="44">
        <v>782.24</v>
      </c>
    </row>
    <row r="35" spans="1:2" x14ac:dyDescent="0.35">
      <c r="A35" s="12" t="s">
        <v>253</v>
      </c>
      <c r="B35" s="44">
        <v>588.58000000000015</v>
      </c>
    </row>
    <row r="36" spans="1:2" x14ac:dyDescent="0.35">
      <c r="A36" s="12" t="s">
        <v>250</v>
      </c>
      <c r="B36" s="44">
        <v>500.94000000000011</v>
      </c>
    </row>
    <row r="37" spans="1:2" x14ac:dyDescent="0.35">
      <c r="A37" s="12" t="s">
        <v>248</v>
      </c>
      <c r="B37" s="44">
        <v>480.18</v>
      </c>
    </row>
    <row r="38" spans="1:2" x14ac:dyDescent="0.35">
      <c r="A38" s="12" t="s">
        <v>249</v>
      </c>
      <c r="B38" s="44">
        <v>382.37999999999994</v>
      </c>
    </row>
    <row r="39" spans="1:2" x14ac:dyDescent="0.35">
      <c r="A39" s="12" t="s">
        <v>251</v>
      </c>
      <c r="B39" s="44">
        <v>129.60000000000002</v>
      </c>
    </row>
    <row r="40" spans="1:2" x14ac:dyDescent="0.35">
      <c r="A40" s="12" t="s">
        <v>262</v>
      </c>
      <c r="B40" s="39">
        <v>2863.9200000000005</v>
      </c>
    </row>
    <row r="42" spans="1:2" x14ac:dyDescent="0.35">
      <c r="A42" s="11" t="s">
        <v>3</v>
      </c>
      <c r="B42" s="44" t="s">
        <v>263</v>
      </c>
    </row>
    <row r="43" spans="1:2" x14ac:dyDescent="0.35">
      <c r="A43" s="12" t="s">
        <v>207</v>
      </c>
      <c r="B43" s="44">
        <v>114.16</v>
      </c>
    </row>
    <row r="44" spans="1:2" x14ac:dyDescent="0.35">
      <c r="A44" s="12" t="s">
        <v>203</v>
      </c>
      <c r="B44" s="44">
        <v>114.42</v>
      </c>
    </row>
    <row r="45" spans="1:2" x14ac:dyDescent="0.35">
      <c r="A45" s="12" t="s">
        <v>225</v>
      </c>
      <c r="B45" s="44">
        <v>123.63999999999999</v>
      </c>
    </row>
    <row r="46" spans="1:2" x14ac:dyDescent="0.35">
      <c r="A46" s="12" t="s">
        <v>224</v>
      </c>
      <c r="B46" s="44">
        <v>130.28</v>
      </c>
    </row>
    <row r="47" spans="1:2" x14ac:dyDescent="0.35">
      <c r="A47" s="12" t="s">
        <v>204</v>
      </c>
      <c r="B47" s="44">
        <v>137.72999999999999</v>
      </c>
    </row>
    <row r="48" spans="1:2" x14ac:dyDescent="0.35">
      <c r="A48" s="12" t="s">
        <v>198</v>
      </c>
      <c r="B48" s="44">
        <v>147.75</v>
      </c>
    </row>
    <row r="49" spans="1:4" x14ac:dyDescent="0.35">
      <c r="A49" s="12" t="s">
        <v>206</v>
      </c>
      <c r="B49" s="44">
        <v>153.46</v>
      </c>
    </row>
    <row r="50" spans="1:4" x14ac:dyDescent="0.35">
      <c r="A50" s="12" t="s">
        <v>205</v>
      </c>
      <c r="B50" s="44">
        <v>164.35</v>
      </c>
    </row>
    <row r="51" spans="1:4" x14ac:dyDescent="0.35">
      <c r="A51" s="12" t="s">
        <v>212</v>
      </c>
      <c r="B51" s="44">
        <v>173.83</v>
      </c>
    </row>
    <row r="52" spans="1:4" x14ac:dyDescent="0.35">
      <c r="A52" s="12" t="s">
        <v>211</v>
      </c>
      <c r="B52" s="44">
        <v>292.31</v>
      </c>
    </row>
    <row r="53" spans="1:4" x14ac:dyDescent="0.35">
      <c r="A53" s="12" t="s">
        <v>262</v>
      </c>
      <c r="B53" s="39">
        <v>1551.9299999999998</v>
      </c>
    </row>
    <row r="56" spans="1:4" x14ac:dyDescent="0.35">
      <c r="A56" t="s">
        <v>263</v>
      </c>
      <c r="B56" t="s">
        <v>266</v>
      </c>
      <c r="C56" t="s">
        <v>269</v>
      </c>
      <c r="D56" t="s">
        <v>330</v>
      </c>
    </row>
    <row r="57" spans="1:4" x14ac:dyDescent="0.35">
      <c r="A57" s="39">
        <v>2863.9199999999992</v>
      </c>
      <c r="B57" s="39">
        <v>638.53</v>
      </c>
      <c r="C57" s="39">
        <v>1034</v>
      </c>
      <c r="D57" s="39">
        <v>180</v>
      </c>
    </row>
  </sheetData>
  <pageMargins left="0.7" right="0.7" top="0.75" bottom="0.75" header="0.3" footer="0.3"/>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Source</vt:lpstr>
      <vt:lpstr>Sales_Data</vt:lpstr>
      <vt:lpstr>Analysis</vt:lpstr>
      <vt:lpstr>Dashboard</vt:lpstr>
      <vt:lpstr>PVT_Chart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msunith msunith</dc:creator>
  <cp:lastModifiedBy>Madhumitha Premanand</cp:lastModifiedBy>
  <dcterms:created xsi:type="dcterms:W3CDTF">2026-10-05T10:58:09Z</dcterms:created>
  <dcterms:modified xsi:type="dcterms:W3CDTF">2026-10-07T10:22:30Z</dcterms:modified>
</cp:coreProperties>
</file>